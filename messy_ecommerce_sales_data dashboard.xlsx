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91\EXCELCNV\442500a1-ad3b-40f0-a9a1-13541f47164b\"/>
    </mc:Choice>
  </mc:AlternateContent>
  <xr:revisionPtr revIDLastSave="0" documentId="8_{CD68964C-6FE5-436A-94D9-A5E5D4453870}" xr6:coauthVersionLast="47" xr6:coauthVersionMax="47" xr10:uidLastSave="{00000000-0000-0000-0000-000000000000}"/>
  <bookViews>
    <workbookView xWindow="-60" yWindow="-60" windowWidth="15480" windowHeight="11640" firstSheet="2" activeTab="1" xr2:uid="{1153811E-B086-46F0-B2B0-BEE693A7310C}"/>
  </bookViews>
  <sheets>
    <sheet name="in" sheetId="1" r:id="rId1"/>
    <sheet name="clean data" sheetId="2" r:id="rId2"/>
    <sheet name="analysis" sheetId="3" r:id="rId3"/>
    <sheet name="analysis 2" sheetId="6" r:id="rId4"/>
    <sheet name="analysis 3" sheetId="7" r:id="rId5"/>
    <sheet name="dashboard" sheetId="4" r:id="rId6"/>
  </sheets>
  <definedNames>
    <definedName name="_xlnm._FilterDatabase" localSheetId="1" hidden="1">'clean data'!$F$1:$F$115</definedName>
    <definedName name="Slicer_Payment_Method">#N/A</definedName>
    <definedName name="Slicer_Status">#N/A</definedName>
  </definedNames>
  <calcPr calcId="191028"/>
  <pivotCaches>
    <pivotCache cacheId="2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E4" i="4"/>
  <c r="H4" i="4" s="1"/>
  <c r="F9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E3" i="2"/>
  <c r="D2" i="2"/>
  <c r="A20" i="2"/>
  <c r="B20" i="2"/>
  <c r="C20" i="2"/>
  <c r="E20" i="2"/>
  <c r="F20" i="2"/>
  <c r="G20" i="2"/>
  <c r="H20" i="2"/>
  <c r="I20" i="2"/>
  <c r="J20" i="2"/>
  <c r="K20" i="2"/>
  <c r="A21" i="2"/>
  <c r="B21" i="2"/>
  <c r="C21" i="2"/>
  <c r="E21" i="2"/>
  <c r="F21" i="2"/>
  <c r="G21" i="2"/>
  <c r="H21" i="2"/>
  <c r="I21" i="2"/>
  <c r="J21" i="2"/>
  <c r="K21" i="2"/>
  <c r="A22" i="2"/>
  <c r="B22" i="2"/>
  <c r="C22" i="2"/>
  <c r="E22" i="2"/>
  <c r="F22" i="2"/>
  <c r="G22" i="2"/>
  <c r="I22" i="2"/>
  <c r="J22" i="2"/>
  <c r="K22" i="2"/>
  <c r="A23" i="2"/>
  <c r="B23" i="2"/>
  <c r="C23" i="2"/>
  <c r="E23" i="2"/>
  <c r="F23" i="2"/>
  <c r="G23" i="2"/>
  <c r="H23" i="2"/>
  <c r="I23" i="2"/>
  <c r="J23" i="2"/>
  <c r="K23" i="2"/>
  <c r="A24" i="2"/>
  <c r="B24" i="2"/>
  <c r="C24" i="2"/>
  <c r="E24" i="2"/>
  <c r="F24" i="2"/>
  <c r="G24" i="2"/>
  <c r="H24" i="2"/>
  <c r="I24" i="2"/>
  <c r="J24" i="2"/>
  <c r="K24" i="2"/>
  <c r="A25" i="2"/>
  <c r="B25" i="2"/>
  <c r="C25" i="2"/>
  <c r="E25" i="2"/>
  <c r="G25" i="2"/>
  <c r="H25" i="2"/>
  <c r="I25" i="2"/>
  <c r="J25" i="2"/>
  <c r="K25" i="2"/>
  <c r="A26" i="2"/>
  <c r="B26" i="2"/>
  <c r="C26" i="2"/>
  <c r="E26" i="2"/>
  <c r="F26" i="2"/>
  <c r="G26" i="2"/>
  <c r="I26" i="2"/>
  <c r="J26" i="2"/>
  <c r="K26" i="2"/>
  <c r="A27" i="2"/>
  <c r="B27" i="2"/>
  <c r="C27" i="2"/>
  <c r="E27" i="2"/>
  <c r="F27" i="2"/>
  <c r="G27" i="2"/>
  <c r="H27" i="2"/>
  <c r="I27" i="2"/>
  <c r="J27" i="2"/>
  <c r="K27" i="2"/>
  <c r="A28" i="2"/>
  <c r="B28" i="2"/>
  <c r="C28" i="2"/>
  <c r="E28" i="2"/>
  <c r="F28" i="2"/>
  <c r="G28" i="2"/>
  <c r="H28" i="2"/>
  <c r="I28" i="2"/>
  <c r="J28" i="2"/>
  <c r="K28" i="2"/>
  <c r="A29" i="2"/>
  <c r="B29" i="2"/>
  <c r="C29" i="2"/>
  <c r="E29" i="2"/>
  <c r="F29" i="2"/>
  <c r="G29" i="2"/>
  <c r="H29" i="2"/>
  <c r="I29" i="2"/>
  <c r="J29" i="2"/>
  <c r="K29" i="2"/>
  <c r="A30" i="2"/>
  <c r="B30" i="2"/>
  <c r="C30" i="2"/>
  <c r="E30" i="2"/>
  <c r="F30" i="2"/>
  <c r="G30" i="2"/>
  <c r="H30" i="2"/>
  <c r="I30" i="2"/>
  <c r="J30" i="2"/>
  <c r="K30" i="2"/>
  <c r="A31" i="2"/>
  <c r="B31" i="2"/>
  <c r="C31" i="2"/>
  <c r="E31" i="2"/>
  <c r="F31" i="2"/>
  <c r="G31" i="2"/>
  <c r="H31" i="2"/>
  <c r="I31" i="2"/>
  <c r="J31" i="2"/>
  <c r="K31" i="2"/>
  <c r="A32" i="2"/>
  <c r="B32" i="2"/>
  <c r="C32" i="2"/>
  <c r="E32" i="2"/>
  <c r="F32" i="2"/>
  <c r="G32" i="2"/>
  <c r="I32" i="2"/>
  <c r="J32" i="2"/>
  <c r="K32" i="2"/>
  <c r="A33" i="2"/>
  <c r="B33" i="2"/>
  <c r="C33" i="2"/>
  <c r="E33" i="2"/>
  <c r="F33" i="2"/>
  <c r="G33" i="2"/>
  <c r="H33" i="2"/>
  <c r="I33" i="2"/>
  <c r="J33" i="2"/>
  <c r="K33" i="2"/>
  <c r="A34" i="2"/>
  <c r="B34" i="2"/>
  <c r="C34" i="2"/>
  <c r="E34" i="2"/>
  <c r="F34" i="2"/>
  <c r="G34" i="2"/>
  <c r="H34" i="2"/>
  <c r="I34" i="2"/>
  <c r="J34" i="2"/>
  <c r="K34" i="2"/>
  <c r="A35" i="2"/>
  <c r="B35" i="2"/>
  <c r="C35" i="2"/>
  <c r="E35" i="2"/>
  <c r="G35" i="2"/>
  <c r="H35" i="2"/>
  <c r="I35" i="2"/>
  <c r="J35" i="2"/>
  <c r="K35" i="2"/>
  <c r="A36" i="2"/>
  <c r="B36" i="2"/>
  <c r="C36" i="2"/>
  <c r="E36" i="2"/>
  <c r="F36" i="2"/>
  <c r="H36" i="2"/>
  <c r="I36" i="2"/>
  <c r="J36" i="2"/>
  <c r="K36" i="2"/>
  <c r="A37" i="2"/>
  <c r="B37" i="2"/>
  <c r="C37" i="2"/>
  <c r="E37" i="2"/>
  <c r="F37" i="2"/>
  <c r="G37" i="2"/>
  <c r="H37" i="2"/>
  <c r="I37" i="2"/>
  <c r="J37" i="2"/>
  <c r="K37" i="2"/>
  <c r="A38" i="2"/>
  <c r="B38" i="2"/>
  <c r="C38" i="2"/>
  <c r="E38" i="2"/>
  <c r="G38" i="2"/>
  <c r="H38" i="2"/>
  <c r="I38" i="2"/>
  <c r="J38" i="2"/>
  <c r="K38" i="2"/>
  <c r="A39" i="2"/>
  <c r="B39" i="2"/>
  <c r="C39" i="2"/>
  <c r="E39" i="2"/>
  <c r="F39" i="2"/>
  <c r="G39" i="2"/>
  <c r="I39" i="2"/>
  <c r="J39" i="2"/>
  <c r="K39" i="2"/>
  <c r="A40" i="2"/>
  <c r="B40" i="2"/>
  <c r="C40" i="2"/>
  <c r="E40" i="2"/>
  <c r="F40" i="2"/>
  <c r="G40" i="2"/>
  <c r="H40" i="2"/>
  <c r="I40" i="2"/>
  <c r="J40" i="2"/>
  <c r="K40" i="2"/>
  <c r="A41" i="2"/>
  <c r="B41" i="2"/>
  <c r="C41" i="2"/>
  <c r="E41" i="2"/>
  <c r="F41" i="2"/>
  <c r="G41" i="2"/>
  <c r="H41" i="2"/>
  <c r="I41" i="2"/>
  <c r="J41" i="2"/>
  <c r="K41" i="2"/>
  <c r="A42" i="2"/>
  <c r="B42" i="2"/>
  <c r="C42" i="2"/>
  <c r="E42" i="2"/>
  <c r="F42" i="2"/>
  <c r="G42" i="2"/>
  <c r="H42" i="2"/>
  <c r="I42" i="2"/>
  <c r="J42" i="2"/>
  <c r="K42" i="2"/>
  <c r="A43" i="2"/>
  <c r="B43" i="2"/>
  <c r="C43" i="2"/>
  <c r="E43" i="2"/>
  <c r="F43" i="2"/>
  <c r="G43" i="2"/>
  <c r="H43" i="2"/>
  <c r="I43" i="2"/>
  <c r="J43" i="2"/>
  <c r="K43" i="2"/>
  <c r="A44" i="2"/>
  <c r="B44" i="2"/>
  <c r="C44" i="2"/>
  <c r="E44" i="2"/>
  <c r="F44" i="2"/>
  <c r="G44" i="2"/>
  <c r="H44" i="2"/>
  <c r="I44" i="2"/>
  <c r="J44" i="2"/>
  <c r="K44" i="2"/>
  <c r="A45" i="2"/>
  <c r="B45" i="2"/>
  <c r="C45" i="2"/>
  <c r="E45" i="2"/>
  <c r="F45" i="2"/>
  <c r="G45" i="2"/>
  <c r="H45" i="2"/>
  <c r="I45" i="2"/>
  <c r="J45" i="2"/>
  <c r="K45" i="2"/>
  <c r="A46" i="2"/>
  <c r="B46" i="2"/>
  <c r="C46" i="2"/>
  <c r="E46" i="2"/>
  <c r="F46" i="2"/>
  <c r="G46" i="2"/>
  <c r="H46" i="2"/>
  <c r="I46" i="2"/>
  <c r="J46" i="2"/>
  <c r="K46" i="2"/>
  <c r="A47" i="2"/>
  <c r="B47" i="2"/>
  <c r="C47" i="2"/>
  <c r="E47" i="2"/>
  <c r="F47" i="2"/>
  <c r="G47" i="2"/>
  <c r="H47" i="2"/>
  <c r="I47" i="2"/>
  <c r="J47" i="2"/>
  <c r="K47" i="2"/>
  <c r="A48" i="2"/>
  <c r="B48" i="2"/>
  <c r="C48" i="2"/>
  <c r="E48" i="2"/>
  <c r="G48" i="2"/>
  <c r="H48" i="2"/>
  <c r="I48" i="2"/>
  <c r="J48" i="2"/>
  <c r="K48" i="2"/>
  <c r="A49" i="2"/>
  <c r="B49" i="2"/>
  <c r="C49" i="2"/>
  <c r="E49" i="2"/>
  <c r="F49" i="2"/>
  <c r="G49" i="2"/>
  <c r="H49" i="2"/>
  <c r="I49" i="2"/>
  <c r="J49" i="2"/>
  <c r="K49" i="2"/>
  <c r="A50" i="2"/>
  <c r="B50" i="2"/>
  <c r="C50" i="2"/>
  <c r="E50" i="2"/>
  <c r="F50" i="2"/>
  <c r="G50" i="2"/>
  <c r="H50" i="2"/>
  <c r="I50" i="2"/>
  <c r="J50" i="2"/>
  <c r="K50" i="2"/>
  <c r="A51" i="2"/>
  <c r="B51" i="2"/>
  <c r="C51" i="2"/>
  <c r="E51" i="2"/>
  <c r="F51" i="2"/>
  <c r="G51" i="2"/>
  <c r="H51" i="2"/>
  <c r="I51" i="2"/>
  <c r="J51" i="2"/>
  <c r="K51" i="2"/>
  <c r="A52" i="2"/>
  <c r="B52" i="2"/>
  <c r="C52" i="2"/>
  <c r="E52" i="2"/>
  <c r="F52" i="2"/>
  <c r="G52" i="2"/>
  <c r="H52" i="2"/>
  <c r="I52" i="2"/>
  <c r="J52" i="2"/>
  <c r="K52" i="2"/>
  <c r="A53" i="2"/>
  <c r="B53" i="2"/>
  <c r="C53" i="2"/>
  <c r="E53" i="2"/>
  <c r="F53" i="2"/>
  <c r="G53" i="2"/>
  <c r="H53" i="2"/>
  <c r="I53" i="2"/>
  <c r="J53" i="2"/>
  <c r="K53" i="2"/>
  <c r="A54" i="2"/>
  <c r="B54" i="2"/>
  <c r="C54" i="2"/>
  <c r="E54" i="2"/>
  <c r="F54" i="2"/>
  <c r="G54" i="2"/>
  <c r="H54" i="2"/>
  <c r="I54" i="2"/>
  <c r="J54" i="2"/>
  <c r="K54" i="2"/>
  <c r="A55" i="2"/>
  <c r="B55" i="2"/>
  <c r="C55" i="2"/>
  <c r="E55" i="2"/>
  <c r="F55" i="2"/>
  <c r="G55" i="2"/>
  <c r="H55" i="2"/>
  <c r="I55" i="2"/>
  <c r="J55" i="2"/>
  <c r="K55" i="2"/>
  <c r="A56" i="2"/>
  <c r="B56" i="2"/>
  <c r="C56" i="2"/>
  <c r="E56" i="2"/>
  <c r="F56" i="2"/>
  <c r="G56" i="2"/>
  <c r="H56" i="2"/>
  <c r="I56" i="2"/>
  <c r="J56" i="2"/>
  <c r="K56" i="2"/>
  <c r="A57" i="2"/>
  <c r="B57" i="2"/>
  <c r="C57" i="2"/>
  <c r="E57" i="2"/>
  <c r="F57" i="2"/>
  <c r="G57" i="2"/>
  <c r="H57" i="2"/>
  <c r="I57" i="2"/>
  <c r="J57" i="2"/>
  <c r="K57" i="2"/>
  <c r="A58" i="2"/>
  <c r="B58" i="2"/>
  <c r="C58" i="2"/>
  <c r="E58" i="2"/>
  <c r="F58" i="2"/>
  <c r="G58" i="2"/>
  <c r="I58" i="2"/>
  <c r="J58" i="2"/>
  <c r="K58" i="2"/>
  <c r="A59" i="2"/>
  <c r="B59" i="2"/>
  <c r="C59" i="2"/>
  <c r="E59" i="2"/>
  <c r="F59" i="2"/>
  <c r="G59" i="2"/>
  <c r="H59" i="2"/>
  <c r="I59" i="2"/>
  <c r="J59" i="2"/>
  <c r="K59" i="2"/>
  <c r="A60" i="2"/>
  <c r="B60" i="2"/>
  <c r="C60" i="2"/>
  <c r="E60" i="2"/>
  <c r="F60" i="2"/>
  <c r="G60" i="2"/>
  <c r="H60" i="2"/>
  <c r="I60" i="2"/>
  <c r="J60" i="2"/>
  <c r="K60" i="2"/>
  <c r="A61" i="2"/>
  <c r="B61" i="2"/>
  <c r="C61" i="2"/>
  <c r="E61" i="2"/>
  <c r="F61" i="2"/>
  <c r="G61" i="2"/>
  <c r="H61" i="2"/>
  <c r="I61" i="2"/>
  <c r="J61" i="2"/>
  <c r="K61" i="2"/>
  <c r="A62" i="2"/>
  <c r="B62" i="2"/>
  <c r="C62" i="2"/>
  <c r="E62" i="2"/>
  <c r="F62" i="2"/>
  <c r="G62" i="2"/>
  <c r="H62" i="2"/>
  <c r="I62" i="2"/>
  <c r="J62" i="2"/>
  <c r="K62" i="2"/>
  <c r="A63" i="2"/>
  <c r="B63" i="2"/>
  <c r="C63" i="2"/>
  <c r="E63" i="2"/>
  <c r="F63" i="2"/>
  <c r="G63" i="2"/>
  <c r="H63" i="2"/>
  <c r="I63" i="2"/>
  <c r="J63" i="2"/>
  <c r="K63" i="2"/>
  <c r="A64" i="2"/>
  <c r="B64" i="2"/>
  <c r="C64" i="2"/>
  <c r="E64" i="2"/>
  <c r="F64" i="2"/>
  <c r="G64" i="2"/>
  <c r="H64" i="2"/>
  <c r="I64" i="2"/>
  <c r="J64" i="2"/>
  <c r="K64" i="2"/>
  <c r="A65" i="2"/>
  <c r="B65" i="2"/>
  <c r="C65" i="2"/>
  <c r="E65" i="2"/>
  <c r="F65" i="2"/>
  <c r="G65" i="2"/>
  <c r="H65" i="2"/>
  <c r="I65" i="2"/>
  <c r="J65" i="2"/>
  <c r="K65" i="2"/>
  <c r="A66" i="2"/>
  <c r="B66" i="2"/>
  <c r="C66" i="2"/>
  <c r="E66" i="2"/>
  <c r="F66" i="2"/>
  <c r="G66" i="2"/>
  <c r="H66" i="2"/>
  <c r="I66" i="2"/>
  <c r="J66" i="2"/>
  <c r="K66" i="2"/>
  <c r="A67" i="2"/>
  <c r="B67" i="2"/>
  <c r="C67" i="2"/>
  <c r="E67" i="2"/>
  <c r="F67" i="2"/>
  <c r="G67" i="2"/>
  <c r="H67" i="2"/>
  <c r="I67" i="2"/>
  <c r="J67" i="2"/>
  <c r="K67" i="2"/>
  <c r="A68" i="2"/>
  <c r="B68" i="2"/>
  <c r="C68" i="2"/>
  <c r="E68" i="2"/>
  <c r="F68" i="2"/>
  <c r="G68" i="2"/>
  <c r="H68" i="2"/>
  <c r="I68" i="2"/>
  <c r="J68" i="2"/>
  <c r="K68" i="2"/>
  <c r="A69" i="2"/>
  <c r="B69" i="2"/>
  <c r="C69" i="2"/>
  <c r="E69" i="2"/>
  <c r="F69" i="2"/>
  <c r="G69" i="2"/>
  <c r="H69" i="2"/>
  <c r="I69" i="2"/>
  <c r="J69" i="2"/>
  <c r="K69" i="2"/>
  <c r="A70" i="2"/>
  <c r="B70" i="2"/>
  <c r="C70" i="2"/>
  <c r="E70" i="2"/>
  <c r="F70" i="2"/>
  <c r="G70" i="2"/>
  <c r="H70" i="2"/>
  <c r="I70" i="2"/>
  <c r="J70" i="2"/>
  <c r="K70" i="2"/>
  <c r="A71" i="2"/>
  <c r="B71" i="2"/>
  <c r="C71" i="2"/>
  <c r="E71" i="2"/>
  <c r="F71" i="2"/>
  <c r="G71" i="2"/>
  <c r="H71" i="2"/>
  <c r="I71" i="2"/>
  <c r="J71" i="2"/>
  <c r="K71" i="2"/>
  <c r="A72" i="2"/>
  <c r="B72" i="2"/>
  <c r="C72" i="2"/>
  <c r="E72" i="2"/>
  <c r="F72" i="2"/>
  <c r="G72" i="2"/>
  <c r="H72" i="2"/>
  <c r="I72" i="2"/>
  <c r="J72" i="2"/>
  <c r="K72" i="2"/>
  <c r="A73" i="2"/>
  <c r="B73" i="2"/>
  <c r="C73" i="2"/>
  <c r="E73" i="2"/>
  <c r="F73" i="2"/>
  <c r="G73" i="2"/>
  <c r="H73" i="2"/>
  <c r="I73" i="2"/>
  <c r="J73" i="2"/>
  <c r="K73" i="2"/>
  <c r="A74" i="2"/>
  <c r="B74" i="2"/>
  <c r="C74" i="2"/>
  <c r="E74" i="2"/>
  <c r="F74" i="2"/>
  <c r="G74" i="2"/>
  <c r="H74" i="2"/>
  <c r="I74" i="2"/>
  <c r="J74" i="2"/>
  <c r="K74" i="2"/>
  <c r="A75" i="2"/>
  <c r="B75" i="2"/>
  <c r="C75" i="2"/>
  <c r="E75" i="2"/>
  <c r="F75" i="2"/>
  <c r="G75" i="2"/>
  <c r="H75" i="2"/>
  <c r="I75" i="2"/>
  <c r="J75" i="2"/>
  <c r="K75" i="2"/>
  <c r="A76" i="2"/>
  <c r="B76" i="2"/>
  <c r="C76" i="2"/>
  <c r="E76" i="2"/>
  <c r="F76" i="2"/>
  <c r="G76" i="2"/>
  <c r="H76" i="2"/>
  <c r="I76" i="2"/>
  <c r="J76" i="2"/>
  <c r="K76" i="2"/>
  <c r="A77" i="2"/>
  <c r="B77" i="2"/>
  <c r="C77" i="2"/>
  <c r="E77" i="2"/>
  <c r="F77" i="2"/>
  <c r="G77" i="2"/>
  <c r="H77" i="2"/>
  <c r="I77" i="2"/>
  <c r="J77" i="2"/>
  <c r="K77" i="2"/>
  <c r="A78" i="2"/>
  <c r="B78" i="2"/>
  <c r="C78" i="2"/>
  <c r="E78" i="2"/>
  <c r="F78" i="2"/>
  <c r="G78" i="2"/>
  <c r="H78" i="2"/>
  <c r="I78" i="2"/>
  <c r="J78" i="2"/>
  <c r="K78" i="2"/>
  <c r="A79" i="2"/>
  <c r="B79" i="2"/>
  <c r="C79" i="2"/>
  <c r="E79" i="2"/>
  <c r="F79" i="2"/>
  <c r="G79" i="2"/>
  <c r="H79" i="2"/>
  <c r="I79" i="2"/>
  <c r="J79" i="2"/>
  <c r="K79" i="2"/>
  <c r="A80" i="2"/>
  <c r="B80" i="2"/>
  <c r="C80" i="2"/>
  <c r="E80" i="2"/>
  <c r="F80" i="2"/>
  <c r="G80" i="2"/>
  <c r="H80" i="2"/>
  <c r="I80" i="2"/>
  <c r="J80" i="2"/>
  <c r="K80" i="2"/>
  <c r="A81" i="2"/>
  <c r="B81" i="2"/>
  <c r="C81" i="2"/>
  <c r="E81" i="2"/>
  <c r="F81" i="2"/>
  <c r="G81" i="2"/>
  <c r="H81" i="2"/>
  <c r="I81" i="2"/>
  <c r="J81" i="2"/>
  <c r="K81" i="2"/>
  <c r="A82" i="2"/>
  <c r="B82" i="2"/>
  <c r="C82" i="2"/>
  <c r="E82" i="2"/>
  <c r="G82" i="2"/>
  <c r="H82" i="2"/>
  <c r="I82" i="2"/>
  <c r="J82" i="2"/>
  <c r="K82" i="2"/>
  <c r="A83" i="2"/>
  <c r="B83" i="2"/>
  <c r="C83" i="2"/>
  <c r="E83" i="2"/>
  <c r="G83" i="2"/>
  <c r="H83" i="2"/>
  <c r="I83" i="2"/>
  <c r="J83" i="2"/>
  <c r="K83" i="2"/>
  <c r="A84" i="2"/>
  <c r="B84" i="2"/>
  <c r="C84" i="2"/>
  <c r="E84" i="2"/>
  <c r="G84" i="2"/>
  <c r="H84" i="2"/>
  <c r="I84" i="2"/>
  <c r="J84" i="2"/>
  <c r="K84" i="2"/>
  <c r="A85" i="2"/>
  <c r="B85" i="2"/>
  <c r="C85" i="2"/>
  <c r="E85" i="2"/>
  <c r="F85" i="2"/>
  <c r="G85" i="2"/>
  <c r="I85" i="2"/>
  <c r="J85" i="2"/>
  <c r="K85" i="2"/>
  <c r="A86" i="2"/>
  <c r="B86" i="2"/>
  <c r="C86" i="2"/>
  <c r="E86" i="2"/>
  <c r="G86" i="2"/>
  <c r="H86" i="2"/>
  <c r="I86" i="2"/>
  <c r="J86" i="2"/>
  <c r="K86" i="2"/>
  <c r="A87" i="2"/>
  <c r="B87" i="2"/>
  <c r="C87" i="2"/>
  <c r="E87" i="2"/>
  <c r="F87" i="2"/>
  <c r="G87" i="2"/>
  <c r="H87" i="2"/>
  <c r="I87" i="2"/>
  <c r="J87" i="2"/>
  <c r="K87" i="2"/>
  <c r="A88" i="2"/>
  <c r="B88" i="2"/>
  <c r="C88" i="2"/>
  <c r="E88" i="2"/>
  <c r="F88" i="2"/>
  <c r="G88" i="2"/>
  <c r="H88" i="2"/>
  <c r="I88" i="2"/>
  <c r="J88" i="2"/>
  <c r="K88" i="2"/>
  <c r="A89" i="2"/>
  <c r="B89" i="2"/>
  <c r="C89" i="2"/>
  <c r="E89" i="2"/>
  <c r="F89" i="2"/>
  <c r="G89" i="2"/>
  <c r="H89" i="2"/>
  <c r="I89" i="2"/>
  <c r="J89" i="2"/>
  <c r="K89" i="2"/>
  <c r="A90" i="2"/>
  <c r="B90" i="2"/>
  <c r="C90" i="2"/>
  <c r="E90" i="2"/>
  <c r="F90" i="2"/>
  <c r="G90" i="2"/>
  <c r="H90" i="2"/>
  <c r="I90" i="2"/>
  <c r="J90" i="2"/>
  <c r="K90" i="2"/>
  <c r="A91" i="2"/>
  <c r="B91" i="2"/>
  <c r="C91" i="2"/>
  <c r="E91" i="2"/>
  <c r="F91" i="2"/>
  <c r="G91" i="2"/>
  <c r="H91" i="2"/>
  <c r="I91" i="2"/>
  <c r="J91" i="2"/>
  <c r="K91" i="2"/>
  <c r="A92" i="2"/>
  <c r="B92" i="2"/>
  <c r="C92" i="2"/>
  <c r="E92" i="2"/>
  <c r="F92" i="2"/>
  <c r="G92" i="2"/>
  <c r="H92" i="2"/>
  <c r="I92" i="2"/>
  <c r="J92" i="2"/>
  <c r="K92" i="2"/>
  <c r="A93" i="2"/>
  <c r="B93" i="2"/>
  <c r="C93" i="2"/>
  <c r="E93" i="2"/>
  <c r="F93" i="2"/>
  <c r="G93" i="2"/>
  <c r="H93" i="2"/>
  <c r="I93" i="2"/>
  <c r="J93" i="2"/>
  <c r="K93" i="2"/>
  <c r="A94" i="2"/>
  <c r="B94" i="2"/>
  <c r="C94" i="2"/>
  <c r="E94" i="2"/>
  <c r="G94" i="2"/>
  <c r="H94" i="2"/>
  <c r="I94" i="2"/>
  <c r="J94" i="2"/>
  <c r="K94" i="2"/>
  <c r="A95" i="2"/>
  <c r="B95" i="2"/>
  <c r="C95" i="2"/>
  <c r="E95" i="2"/>
  <c r="F95" i="2"/>
  <c r="G95" i="2"/>
  <c r="H95" i="2"/>
  <c r="I95" i="2"/>
  <c r="J95" i="2"/>
  <c r="K95" i="2"/>
  <c r="A96" i="2"/>
  <c r="B96" i="2"/>
  <c r="C96" i="2"/>
  <c r="E96" i="2"/>
  <c r="F96" i="2"/>
  <c r="G96" i="2"/>
  <c r="H96" i="2"/>
  <c r="I96" i="2"/>
  <c r="J96" i="2"/>
  <c r="K96" i="2"/>
  <c r="A97" i="2"/>
  <c r="B97" i="2"/>
  <c r="C97" i="2"/>
  <c r="E97" i="2"/>
  <c r="F97" i="2"/>
  <c r="G97" i="2"/>
  <c r="I97" i="2"/>
  <c r="J97" i="2"/>
  <c r="K97" i="2"/>
  <c r="A98" i="2"/>
  <c r="B98" i="2"/>
  <c r="C98" i="2"/>
  <c r="E98" i="2"/>
  <c r="F98" i="2"/>
  <c r="G98" i="2"/>
  <c r="H98" i="2"/>
  <c r="I98" i="2"/>
  <c r="J98" i="2"/>
  <c r="K98" i="2"/>
  <c r="A99" i="2"/>
  <c r="B99" i="2"/>
  <c r="C99" i="2"/>
  <c r="E99" i="2"/>
  <c r="G99" i="2"/>
  <c r="H99" i="2"/>
  <c r="I99" i="2"/>
  <c r="J99" i="2"/>
  <c r="K99" i="2"/>
  <c r="A100" i="2"/>
  <c r="B100" i="2"/>
  <c r="C100" i="2"/>
  <c r="E100" i="2"/>
  <c r="F100" i="2"/>
  <c r="G100" i="2"/>
  <c r="H100" i="2"/>
  <c r="I100" i="2"/>
  <c r="J100" i="2"/>
  <c r="K100" i="2"/>
  <c r="A101" i="2"/>
  <c r="B101" i="2"/>
  <c r="C101" i="2"/>
  <c r="E101" i="2"/>
  <c r="F101" i="2"/>
  <c r="G101" i="2"/>
  <c r="H101" i="2"/>
  <c r="I101" i="2"/>
  <c r="J101" i="2"/>
  <c r="K101" i="2"/>
  <c r="A102" i="2"/>
  <c r="B102" i="2"/>
  <c r="C102" i="2"/>
  <c r="E102" i="2"/>
  <c r="F102" i="2"/>
  <c r="G102" i="2"/>
  <c r="H102" i="2"/>
  <c r="I102" i="2"/>
  <c r="J102" i="2"/>
  <c r="K102" i="2"/>
  <c r="A103" i="2"/>
  <c r="B103" i="2"/>
  <c r="C103" i="2"/>
  <c r="E103" i="2"/>
  <c r="G103" i="2"/>
  <c r="H103" i="2"/>
  <c r="I103" i="2"/>
  <c r="J103" i="2"/>
  <c r="K103" i="2"/>
  <c r="A3" i="2"/>
  <c r="B3" i="2"/>
  <c r="C3" i="2"/>
  <c r="F3" i="2"/>
  <c r="G3" i="2"/>
  <c r="I3" i="2"/>
  <c r="J3" i="2"/>
  <c r="K3" i="2"/>
  <c r="A4" i="2"/>
  <c r="B4" i="2"/>
  <c r="C4" i="2"/>
  <c r="E4" i="2"/>
  <c r="F4" i="2"/>
  <c r="G4" i="2"/>
  <c r="H4" i="2"/>
  <c r="I4" i="2"/>
  <c r="J4" i="2"/>
  <c r="K4" i="2"/>
  <c r="A5" i="2"/>
  <c r="B5" i="2"/>
  <c r="C5" i="2"/>
  <c r="E5" i="2"/>
  <c r="F5" i="2"/>
  <c r="G5" i="2"/>
  <c r="H5" i="2"/>
  <c r="I5" i="2"/>
  <c r="J5" i="2"/>
  <c r="K5" i="2"/>
  <c r="A6" i="2"/>
  <c r="B6" i="2"/>
  <c r="C6" i="2"/>
  <c r="E6" i="2"/>
  <c r="F6" i="2"/>
  <c r="G6" i="2"/>
  <c r="H6" i="2"/>
  <c r="I6" i="2"/>
  <c r="J6" i="2"/>
  <c r="K6" i="2"/>
  <c r="A7" i="2"/>
  <c r="B7" i="2"/>
  <c r="C7" i="2"/>
  <c r="E7" i="2"/>
  <c r="F7" i="2"/>
  <c r="G7" i="2"/>
  <c r="H7" i="2"/>
  <c r="I7" i="2"/>
  <c r="J7" i="2"/>
  <c r="K7" i="2"/>
  <c r="A8" i="2"/>
  <c r="B8" i="2"/>
  <c r="C8" i="2"/>
  <c r="E8" i="2"/>
  <c r="F8" i="2"/>
  <c r="G8" i="2"/>
  <c r="H8" i="2"/>
  <c r="I8" i="2"/>
  <c r="J8" i="2"/>
  <c r="K8" i="2"/>
  <c r="A9" i="2"/>
  <c r="B9" i="2"/>
  <c r="C9" i="2"/>
  <c r="E9" i="2"/>
  <c r="F9" i="2"/>
  <c r="G9" i="2"/>
  <c r="H9" i="2"/>
  <c r="I9" i="2"/>
  <c r="J9" i="2"/>
  <c r="K9" i="2"/>
  <c r="A10" i="2"/>
  <c r="B10" i="2"/>
  <c r="C10" i="2"/>
  <c r="E10" i="2"/>
  <c r="F10" i="2"/>
  <c r="G10" i="2"/>
  <c r="H10" i="2"/>
  <c r="I10" i="2"/>
  <c r="J10" i="2"/>
  <c r="K10" i="2"/>
  <c r="A11" i="2"/>
  <c r="B11" i="2"/>
  <c r="C11" i="2"/>
  <c r="E11" i="2"/>
  <c r="F11" i="2"/>
  <c r="G11" i="2"/>
  <c r="H11" i="2"/>
  <c r="I11" i="2"/>
  <c r="J11" i="2"/>
  <c r="K11" i="2"/>
  <c r="A12" i="2"/>
  <c r="B12" i="2"/>
  <c r="C12" i="2"/>
  <c r="E12" i="2"/>
  <c r="F12" i="2"/>
  <c r="G12" i="2"/>
  <c r="I12" i="2"/>
  <c r="J12" i="2"/>
  <c r="K12" i="2"/>
  <c r="A13" i="2"/>
  <c r="B13" i="2"/>
  <c r="C13" i="2"/>
  <c r="E13" i="2"/>
  <c r="F13" i="2"/>
  <c r="G13" i="2"/>
  <c r="H13" i="2"/>
  <c r="I13" i="2"/>
  <c r="J13" i="2"/>
  <c r="K13" i="2"/>
  <c r="A14" i="2"/>
  <c r="B14" i="2"/>
  <c r="C14" i="2"/>
  <c r="E14" i="2"/>
  <c r="F14" i="2"/>
  <c r="G14" i="2"/>
  <c r="H14" i="2"/>
  <c r="I14" i="2"/>
  <c r="J14" i="2"/>
  <c r="K14" i="2"/>
  <c r="A15" i="2"/>
  <c r="B15" i="2"/>
  <c r="C15" i="2"/>
  <c r="E15" i="2"/>
  <c r="F15" i="2"/>
  <c r="G15" i="2"/>
  <c r="H15" i="2"/>
  <c r="I15" i="2"/>
  <c r="J15" i="2"/>
  <c r="K15" i="2"/>
  <c r="A16" i="2"/>
  <c r="B16" i="2"/>
  <c r="C16" i="2"/>
  <c r="E16" i="2"/>
  <c r="F16" i="2"/>
  <c r="G16" i="2"/>
  <c r="H16" i="2"/>
  <c r="I16" i="2"/>
  <c r="J16" i="2"/>
  <c r="K16" i="2"/>
  <c r="A17" i="2"/>
  <c r="B17" i="2"/>
  <c r="C17" i="2"/>
  <c r="E17" i="2"/>
  <c r="F17" i="2"/>
  <c r="G17" i="2"/>
  <c r="H17" i="2"/>
  <c r="I17" i="2"/>
  <c r="J17" i="2"/>
  <c r="K17" i="2"/>
  <c r="A18" i="2"/>
  <c r="B18" i="2"/>
  <c r="C18" i="2"/>
  <c r="E18" i="2"/>
  <c r="F18" i="2"/>
  <c r="G18" i="2"/>
  <c r="I18" i="2"/>
  <c r="J18" i="2"/>
  <c r="K18" i="2"/>
  <c r="A19" i="2"/>
  <c r="B19" i="2"/>
  <c r="C19" i="2"/>
  <c r="E19" i="2"/>
  <c r="H19" i="2"/>
  <c r="I19" i="2"/>
  <c r="J19" i="2"/>
  <c r="K19" i="2"/>
  <c r="J2" i="2"/>
  <c r="G2" i="2"/>
  <c r="H2" i="2"/>
  <c r="I2" i="2"/>
  <c r="F2" i="2"/>
  <c r="E2" i="2"/>
  <c r="C2" i="2"/>
  <c r="B2" i="2"/>
  <c r="A2" i="2"/>
  <c r="K2" i="2" l="1"/>
</calcChain>
</file>

<file path=xl/sharedStrings.xml><?xml version="1.0" encoding="utf-8"?>
<sst xmlns="http://schemas.openxmlformats.org/spreadsheetml/2006/main" count="734" uniqueCount="310">
  <si>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</si>
  <si>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</si>
  <si>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</si>
  <si>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</si>
  <si>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</si>
  <si>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</si>
  <si>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</si>
  <si>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</si>
  <si>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</si>
  <si>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</si>
  <si>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</si>
  <si>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</si>
  <si>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</si>
  <si>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11/22/2024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</si>
  <si>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</si>
  <si>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</si>
  <si>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</si>
  <si>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</si>
  <si>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</si>
  <si>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</si>
  <si>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</si>
  <si>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</si>
  <si>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</si>
  <si>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</si>
  <si>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</si>
  <si>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</si>
  <si>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</si>
  <si>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</si>
  <si>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</si>
  <si>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</si>
  <si>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Delivered</t>
  </si>
  <si>
    <t>Customer_103</t>
  </si>
  <si>
    <t>ORD-57811</t>
  </si>
  <si>
    <t>3/19/2025</t>
  </si>
  <si>
    <t>Science</t>
  </si>
  <si>
    <t>Books</t>
  </si>
  <si>
    <t>Customer_104</t>
  </si>
  <si>
    <t>ORD-93614</t>
  </si>
  <si>
    <t>10/20/2025</t>
  </si>
  <si>
    <t>Biography</t>
  </si>
  <si>
    <t>Customer_105</t>
  </si>
  <si>
    <t>ORD-22442</t>
  </si>
  <si>
    <t>11/20/2024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</si>
  <si>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</si>
  <si>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</si>
  <si>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</si>
  <si>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</si>
  <si>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</si>
  <si>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</si>
  <si>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</si>
  <si>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</si>
  <si>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</si>
  <si>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10/23/2025</t>
  </si>
  <si>
    <t>Customer_109</t>
  </si>
  <si>
    <t>ORD-18512</t>
  </si>
  <si>
    <t>Credit Card</t>
  </si>
  <si>
    <t>Customer_110</t>
  </si>
  <si>
    <t>ORD-61020</t>
  </si>
  <si>
    <t>9/26/2025</t>
  </si>
  <si>
    <t>Basketball</t>
  </si>
  <si>
    <t>sports</t>
  </si>
  <si>
    <t>four hundred</t>
  </si>
  <si>
    <t>Customer_111</t>
  </si>
  <si>
    <t>ORD-72349</t>
  </si>
  <si>
    <t>10/22/2025</t>
  </si>
  <si>
    <t>Comics</t>
  </si>
  <si>
    <t>Customer_112</t>
  </si>
  <si>
    <t>ORD-80867</t>
  </si>
  <si>
    <t>Shoes</t>
  </si>
  <si>
    <t>Clothing</t>
  </si>
  <si>
    <t>Customer_113</t>
  </si>
  <si>
    <t>ORD-23994</t>
  </si>
  <si>
    <t>7/24/2025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</si>
  <si>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</si>
  <si>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</si>
  <si>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</si>
  <si>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</si>
  <si>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</si>
  <si>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</si>
  <si>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</si>
  <si>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</si>
  <si>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10/30/2025</t>
  </si>
  <si>
    <t>Microwave</t>
  </si>
  <si>
    <t>Customer_117</t>
  </si>
  <si>
    <t>ORD-72751</t>
  </si>
  <si>
    <t>electronic</t>
  </si>
  <si>
    <t>Customer_118</t>
  </si>
  <si>
    <t>ORD-96061</t>
  </si>
  <si>
    <t>5/31/2025</t>
  </si>
  <si>
    <t>Customer_119</t>
  </si>
  <si>
    <t>ORD-76016</t>
  </si>
  <si>
    <t>12/19/2024</t>
  </si>
  <si>
    <t>Customer_120</t>
  </si>
  <si>
    <t>ORD-14659</t>
  </si>
  <si>
    <t>6/13/2025</t>
  </si>
  <si>
    <t>Yoga Mat</t>
  </si>
  <si>
    <t>ELECTRONICS</t>
  </si>
  <si>
    <t>300$</t>
  </si>
  <si>
    <t>Customer_121</t>
  </si>
  <si>
    <t>ORD-80067</t>
  </si>
  <si>
    <t>Customer_122</t>
  </si>
  <si>
    <t>ORD-21443</t>
  </si>
  <si>
    <t>5/16/2025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</si>
  <si>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</si>
  <si>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</si>
  <si>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</si>
  <si>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</si>
  <si>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</si>
  <si>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</si>
  <si>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</si>
  <si>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</si>
  <si>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</si>
  <si>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5/18/2025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</si>
  <si>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</si>
  <si>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</si>
  <si>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</si>
  <si>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</si>
  <si>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</si>
  <si>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</si>
  <si>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</si>
  <si>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</si>
  <si>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6/22/2025</t>
  </si>
  <si>
    <t>Customer_130</t>
  </si>
  <si>
    <t>ORD-34007</t>
  </si>
  <si>
    <t>8/15/2025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</si>
  <si>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</si>
  <si>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</si>
  <si>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</si>
  <si>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</si>
  <si>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</si>
  <si>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</si>
  <si>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</si>
  <si>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</si>
  <si>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</si>
  <si>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</si>
  <si>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</si>
  <si>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</si>
  <si>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</si>
  <si>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</si>
  <si>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</si>
  <si>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</si>
  <si>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</si>
  <si>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</si>
  <si>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2/23/2025</t>
  </si>
  <si>
    <t>Customer_138</t>
  </si>
  <si>
    <t>ORD-34319</t>
  </si>
  <si>
    <t>Customer_139</t>
  </si>
  <si>
    <t>ORD-38418</t>
  </si>
  <si>
    <t>Customer_140</t>
  </si>
  <si>
    <t>ORD-67096</t>
  </si>
  <si>
    <t>2/26/2025</t>
  </si>
  <si>
    <t>Customer_141</t>
  </si>
  <si>
    <t>ORD-45059</t>
  </si>
  <si>
    <t>2/13/2025</t>
  </si>
  <si>
    <t>Customer_142</t>
  </si>
  <si>
    <t>ORD-69018</t>
  </si>
  <si>
    <t>Customer_143</t>
  </si>
  <si>
    <t>ORD-14329</t>
  </si>
  <si>
    <t>Customer_144</t>
  </si>
  <si>
    <t>ORD-89452</t>
  </si>
  <si>
    <t>1/27/2025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</si>
  <si>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</si>
  <si>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</si>
  <si>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</si>
  <si>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</si>
  <si>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</si>
  <si>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</si>
  <si>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</si>
  <si>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</si>
  <si>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</si>
  <si>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</si>
  <si>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</si>
  <si>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3/13/2025</t>
  </si>
  <si>
    <t>Customer_149</t>
  </si>
  <si>
    <t>ORD-95911</t>
  </si>
  <si>
    <t>6/29/2025</t>
  </si>
  <si>
    <t>Customer_150</t>
  </si>
  <si>
    <t>ORD-76902</t>
  </si>
  <si>
    <t>11/27/2024</t>
  </si>
  <si>
    <t>Customer_151</t>
  </si>
  <si>
    <t>ORD-56552</t>
  </si>
  <si>
    <t>Customer_152</t>
  </si>
  <si>
    <t>ORD-72869</t>
  </si>
  <si>
    <t>9/22/2025</t>
  </si>
  <si>
    <t>Customer_153</t>
  </si>
  <si>
    <t>ORD-29721</t>
  </si>
  <si>
    <t>7/16/2025</t>
  </si>
  <si>
    <t>Customer_154</t>
  </si>
  <si>
    <t>ORD-95990</t>
  </si>
  <si>
    <t>2/21/2025</t>
  </si>
  <si>
    <t>Customer_155</t>
  </si>
  <si>
    <t>ORD-20182</t>
  </si>
  <si>
    <t>shoes</t>
  </si>
  <si>
    <t>Customer_156</t>
  </si>
  <si>
    <t>ORD-34679</t>
  </si>
  <si>
    <t>11/28/2024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</si>
  <si>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</si>
  <si>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</si>
  <si>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</si>
  <si>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</si>
  <si>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</si>
  <si>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</si>
  <si>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</si>
  <si>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7/28/2025</t>
  </si>
  <si>
    <t>Customer_160</t>
  </si>
  <si>
    <t>ORD-96037</t>
  </si>
  <si>
    <t>Customer_161</t>
  </si>
  <si>
    <t>ORD-27653</t>
  </si>
  <si>
    <t>12/15/2024</t>
  </si>
  <si>
    <t>Customer_162</t>
  </si>
  <si>
    <t>ORD-27743</t>
  </si>
  <si>
    <t>5/19/2025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</si>
  <si>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</si>
  <si>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</si>
  <si>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</si>
  <si>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</si>
  <si>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</si>
  <si>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</si>
  <si>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</si>
  <si>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</si>
  <si>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</si>
  <si>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</si>
  <si>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</si>
  <si>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</si>
  <si>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</si>
  <si>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</si>
  <si>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</si>
  <si>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</si>
  <si>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</si>
  <si>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</si>
  <si>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</si>
  <si>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</si>
  <si>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11/18/2024</t>
  </si>
  <si>
    <t>Customer_173</t>
  </si>
  <si>
    <t>ORD-42171</t>
  </si>
  <si>
    <t>Customer_174</t>
  </si>
  <si>
    <t>ORD-16766</t>
  </si>
  <si>
    <t>9/20/2025</t>
  </si>
  <si>
    <t>Customer_175</t>
  </si>
  <si>
    <t>ORD-56651</t>
  </si>
  <si>
    <t>2/24/2025</t>
  </si>
  <si>
    <t>Customer_176</t>
  </si>
  <si>
    <t>ORD-95794</t>
  </si>
  <si>
    <t>7/22/2025</t>
  </si>
  <si>
    <t>Customer_177</t>
  </si>
  <si>
    <t>ORD-64136</t>
  </si>
  <si>
    <t>Customer_178</t>
  </si>
  <si>
    <t>ORD-89906</t>
  </si>
  <si>
    <t>9/18/2025</t>
  </si>
  <si>
    <t>Customer_179</t>
  </si>
  <si>
    <t>ORD-99328</t>
  </si>
  <si>
    <t>Customer_180</t>
  </si>
  <si>
    <t>ORD-86629</t>
  </si>
  <si>
    <t>3/26/2025</t>
  </si>
  <si>
    <t>Customer_181</t>
  </si>
  <si>
    <t>ORD-54481</t>
  </si>
  <si>
    <t>12/29/2024</t>
  </si>
  <si>
    <t>Customer_182</t>
  </si>
  <si>
    <t>ORD-79672</t>
  </si>
  <si>
    <t>Customer_183</t>
  </si>
  <si>
    <t>ORD-20916</t>
  </si>
  <si>
    <t>Customer_184</t>
  </si>
  <si>
    <t>ORD-67799</t>
  </si>
  <si>
    <t>2/15/2025</t>
  </si>
  <si>
    <t>Customer_185</t>
  </si>
  <si>
    <t>ORD-57123</t>
  </si>
  <si>
    <t>8/14/2025</t>
  </si>
  <si>
    <t>Customer_186</t>
  </si>
  <si>
    <t>ORD-90569</t>
  </si>
  <si>
    <t>Customer_187</t>
  </si>
  <si>
    <t>ORD-41292</t>
  </si>
  <si>
    <t>11/19/2024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</si>
  <si>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</si>
  <si>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</si>
  <si>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</si>
  <si>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</si>
  <si>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</si>
  <si>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</si>
  <si>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</si>
  <si>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</si>
  <si>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7/18/2025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</si>
  <si>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</si>
  <si>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</si>
  <si>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</si>
  <si>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</si>
  <si>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</si>
  <si>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</si>
  <si>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</si>
  <si>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</si>
  <si>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</si>
  <si>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</si>
  <si>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6/19/2025</t>
  </si>
  <si>
    <t>Customer_196</t>
  </si>
  <si>
    <t>ORD-78384</t>
  </si>
  <si>
    <t>Customer_197</t>
  </si>
  <si>
    <t>ORD-79139</t>
  </si>
  <si>
    <t>6/23/2025</t>
  </si>
  <si>
    <t>Customer_198</t>
  </si>
  <si>
    <t>ORD-14608</t>
  </si>
  <si>
    <t>7/27/2025</t>
  </si>
  <si>
    <t>Customer_199</t>
  </si>
  <si>
    <t>ORD-82922</t>
  </si>
  <si>
    <t>1/22/2025</t>
  </si>
  <si>
    <t>Sum of Total</t>
  </si>
  <si>
    <t>Grand Total</t>
  </si>
  <si>
    <t>Count of Order_ID</t>
  </si>
  <si>
    <t>E-Commerce Sales &amp; Operations performance Dashboard</t>
  </si>
  <si>
    <t xml:space="preserve">TOTAL REVENUE </t>
  </si>
  <si>
    <t>TOTAL 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</si>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</sst>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6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top"/>
    </xf>
    <xf numFmtId="2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NumberFormat="1"/>
    <xf numFmtId="0" fontId="16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0" fillId="33" borderId="0" xfId="0" applyFill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164" fontId="16" fillId="33" borderId="11" xfId="0" applyNumberFormat="1" applyFont="1" applyFill="1" applyBorder="1" applyAlignment="1">
      <alignment horizontal="center"/>
    </xf>
    <xf numFmtId="164" fontId="16" fillId="33" borderId="0" xfId="0" applyNumberFormat="1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20" fillId="33" borderId="0" xfId="0" applyFont="1" applyFill="1" applyAlignment="1">
      <alignment horizontal="center" wrapText="1"/>
    </xf>
    <xf numFmtId="14" fontId="16" fillId="0" borderId="0" xfId="0" applyNumberFormat="1" applyFont="1" applyAlignment="1">
      <alignment horizontal="center" vertical="top"/>
    </xf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analysis!$B$4:$B$9</c:f>
              <c:numCache>
                <c:formatCode>_-[$$-409]* #,##0.00_ ;_-[$$-409]* \-#,##0.00\ ;_-[$$-409]* "-"??_ ;_-@_ </c:formatCode>
                <c:ptCount val="5"/>
                <c:pt idx="0">
                  <c:v>38357.11</c:v>
                </c:pt>
                <c:pt idx="1">
                  <c:v>32644.379999999997</c:v>
                </c:pt>
                <c:pt idx="2">
                  <c:v>43678.549999999996</c:v>
                </c:pt>
                <c:pt idx="3">
                  <c:v>26023.730000000003</c:v>
                </c:pt>
                <c:pt idx="4">
                  <c:v>19736.25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0-437A-8FD5-08476C757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133447"/>
        <c:axId val="402440"/>
      </c:barChart>
      <c:catAx>
        <c:axId val="214713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40"/>
        <c:crosses val="autoZero"/>
        <c:auto val="1"/>
        <c:lblAlgn val="ctr"/>
        <c:lblOffset val="100"/>
        <c:noMultiLvlLbl val="0"/>
      </c:catAx>
      <c:valAx>
        <c:axId val="40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3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[messy_ecommerce_sales_data.xlsx]analysis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fulfilment status break 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2'!$A$4:$A$9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'analysis 2'!$B$4:$B$9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27</c:v>
                </c:pt>
                <c:pt idx="3">
                  <c:v>26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2-42C2-AF28-7E3CC631B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590023"/>
        <c:axId val="661592071"/>
      </c:lineChart>
      <c:catAx>
        <c:axId val="66159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92071"/>
        <c:crosses val="autoZero"/>
        <c:auto val="1"/>
        <c:lblAlgn val="ctr"/>
        <c:lblOffset val="100"/>
        <c:noMultiLvlLbl val="0"/>
      </c:catAx>
      <c:valAx>
        <c:axId val="661592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9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[messy_ecommerce_sales_data.xlsx]analysis 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'analysis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'analysis 3'!$A$4:$A$8</c:f>
              <c:strCache>
                <c:ptCount val="4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'analysis 3'!$B$4:$B$8</c:f>
              <c:numCache>
                <c:formatCode>General</c:formatCode>
                <c:ptCount val="4"/>
                <c:pt idx="0">
                  <c:v>43023.67</c:v>
                </c:pt>
                <c:pt idx="1">
                  <c:v>64758.299999999988</c:v>
                </c:pt>
                <c:pt idx="2">
                  <c:v>25077.63</c:v>
                </c:pt>
                <c:pt idx="3">
                  <c:v>27580.420000000006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5-4696-9751-08CAD403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analysis!$B$4:$B$9</c:f>
              <c:numCache>
                <c:formatCode>_-[$$-409]* #,##0.00_ ;_-[$$-409]* \-#,##0.00\ ;_-[$$-409]* "-"??_ ;_-@_ </c:formatCode>
                <c:ptCount val="5"/>
                <c:pt idx="0">
                  <c:v>38357.11</c:v>
                </c:pt>
                <c:pt idx="1">
                  <c:v>32644.379999999997</c:v>
                </c:pt>
                <c:pt idx="2">
                  <c:v>43678.549999999996</c:v>
                </c:pt>
                <c:pt idx="3">
                  <c:v>26023.730000000003</c:v>
                </c:pt>
                <c:pt idx="4">
                  <c:v>19736.25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8-4E9F-9C1E-1DAE6568F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133447"/>
        <c:axId val="402440"/>
      </c:barChart>
      <c:catAx>
        <c:axId val="214713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40"/>
        <c:crosses val="autoZero"/>
        <c:auto val="1"/>
        <c:lblAlgn val="ctr"/>
        <c:lblOffset val="100"/>
        <c:noMultiLvlLbl val="0"/>
      </c:catAx>
      <c:valAx>
        <c:axId val="402440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3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[messy_ecommerce_sales_data.xlsx]analysis 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fulfilment status break 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2'!$A$4:$A$9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'analysis 2'!$B$4:$B$9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27</c:v>
                </c:pt>
                <c:pt idx="3">
                  <c:v>26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7-404D-A863-386956842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590023"/>
        <c:axId val="661592071"/>
      </c:lineChart>
      <c:catAx>
        <c:axId val="66159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92071"/>
        <c:crosses val="autoZero"/>
        <c:auto val="1"/>
        <c:lblAlgn val="ctr"/>
        <c:lblOffset val="100"/>
        <c:noMultiLvlLbl val="0"/>
      </c:catAx>
      <c:valAx>
        <c:axId val="661592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9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[messy_ecommerce_sales_data.xlsx]analysis 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split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B3-437C-9EA9-7467D8AC1E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B3-437C-9EA9-7467D8AC1E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B3-437C-9EA9-7467D8AC1E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B3-437C-9EA9-7467D8AC1E16}"/>
              </c:ext>
            </c:extLst>
          </c:dPt>
          <c:cat>
            <c:strRef>
              <c:f>'analysis 3'!$A$4:$A$8</c:f>
              <c:strCache>
                <c:ptCount val="4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'analysis 3'!$B$4:$B$8</c:f>
              <c:numCache>
                <c:formatCode>General</c:formatCode>
                <c:ptCount val="4"/>
                <c:pt idx="0">
                  <c:v>43023.67</c:v>
                </c:pt>
                <c:pt idx="1">
                  <c:v>64758.299999999988</c:v>
                </c:pt>
                <c:pt idx="2">
                  <c:v>25077.63</c:v>
                </c:pt>
                <c:pt idx="3">
                  <c:v>27580.420000000006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B3-437C-9EA9-7467D8AC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0</xdr:rowOff>
    </xdr:from>
    <xdr:to>
      <xdr:col>9</xdr:col>
      <xdr:colOff>390525</xdr:colOff>
      <xdr:row>12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9C2A18-2D27-71E1-A3BC-D19D7C806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47625</xdr:rowOff>
    </xdr:from>
    <xdr:to>
      <xdr:col>9</xdr:col>
      <xdr:colOff>600075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C7A1C-9D54-D348-D504-DD9FB4315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104775</xdr:colOff>
      <xdr:row>1</xdr:row>
      <xdr:rowOff>57150</xdr:rowOff>
    </xdr:from>
    <xdr:to>
      <xdr:col>13</xdr:col>
      <xdr:colOff>104775</xdr:colOff>
      <xdr:row>15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us">
              <a:extLst>
                <a:ext uri="{FF2B5EF4-FFF2-40B4-BE49-F238E27FC236}">
                  <a16:creationId xmlns:a16="http://schemas.microsoft.com/office/drawing/2014/main" id="{971FCCD3-CD69-FA4C-EAFF-92C1D707B83C}"/>
                </a:ext>
                <a:ext uri="{147F2762-F138-4A5C-976F-8EAC2B608ADB}">
                  <a16:predDERef xmlns:a16="http://schemas.microsoft.com/office/drawing/2014/main" pred="{936C7A1C-9D54-D348-D504-DD9FB4315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6575" y="247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66675</xdr:rowOff>
    </xdr:from>
    <xdr:to>
      <xdr:col>9</xdr:col>
      <xdr:colOff>457200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FFD29-DD51-9DFF-3741-099253BA9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104775</xdr:colOff>
      <xdr:row>1</xdr:row>
      <xdr:rowOff>38100</xdr:rowOff>
    </xdr:from>
    <xdr:to>
      <xdr:col>13</xdr:col>
      <xdr:colOff>104775</xdr:colOff>
      <xdr:row>15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ayment_Method">
              <a:extLst>
                <a:ext uri="{FF2B5EF4-FFF2-40B4-BE49-F238E27FC236}">
                  <a16:creationId xmlns:a16="http://schemas.microsoft.com/office/drawing/2014/main" id="{5D90CEF1-9551-D366-038F-29128A005AAA}"/>
                </a:ext>
                <a:ext uri="{147F2762-F138-4A5C-976F-8EAC2B608ADB}">
                  <a16:predDERef xmlns:a16="http://schemas.microsoft.com/office/drawing/2014/main" pred="{312FFD29-DD51-9DFF-3741-099253BA9D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4225" y="228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123825</xdr:rowOff>
    </xdr:from>
    <xdr:to>
      <xdr:col>2</xdr:col>
      <xdr:colOff>1371600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76CAB-53AE-4BFC-8831-0A93B9757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1552575</xdr:colOff>
      <xdr:row>5</xdr:row>
      <xdr:rowOff>123825</xdr:rowOff>
    </xdr:from>
    <xdr:to>
      <xdr:col>4</xdr:col>
      <xdr:colOff>1000125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A222B-3D43-4737-A6F1-ED37528B93FF}"/>
            </a:ext>
            <a:ext uri="{147F2762-F138-4A5C-976F-8EAC2B608ADB}">
              <a16:predDERef xmlns:a16="http://schemas.microsoft.com/office/drawing/2014/main" pred="{91976CAB-53AE-4BFC-8831-0A93B9757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104775</xdr:colOff>
      <xdr:row>5</xdr:row>
      <xdr:rowOff>104775</xdr:rowOff>
    </xdr:from>
    <xdr:to>
      <xdr:col>9</xdr:col>
      <xdr:colOff>304800</xdr:colOff>
      <xdr:row>16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7EAE48-AE22-4739-9D03-435742183A31}"/>
            </a:ext>
            <a:ext uri="{147F2762-F138-4A5C-976F-8EAC2B608ADB}">
              <a16:predDERef xmlns:a16="http://schemas.microsoft.com/office/drawing/2014/main" pred="{946A222B-3D43-4737-A6F1-ED37528B9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0.393988310185" createdVersion="8" refreshedVersion="8" minRefreshableVersion="3" recordCount="102" xr:uid="{18F104F9-0C91-45A2-BD7B-F35673D7FAF0}">
  <cacheSource type="worksheet">
    <worksheetSource ref="A1:K103" sheet="clean data"/>
  </cacheSource>
  <cacheFields count="11">
    <cacheField name="ID" numFmtId="0">
      <sharedItems containsSemiMixedTypes="0" containsString="0" containsNumber="1" containsInteger="1" minValue="100" maxValue="199"/>
    </cacheField>
    <cacheField name=" Customer_Name" numFmtId="0">
      <sharedItems count="99">
        <s v="Customer_10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0"/>
        <s v="Customer_111"/>
        <s v="Customer_112"/>
        <s v="Customer_113"/>
        <s v="Customer_114"/>
        <s v="Customer_115"/>
        <s v="Customer_116"/>
        <s v="Customer_117"/>
        <s v="Customer_118"/>
        <s v="Customer_119"/>
        <s v="Customer_120"/>
        <s v="Customer_121"/>
        <s v="Customer_122"/>
        <s v="Customer_123"/>
        <s v="Customer_124"/>
        <s v="Customer_125"/>
        <s v="Customer_126"/>
        <s v="Customer_127"/>
        <s v="Customer_128"/>
        <s v="Customer_129"/>
        <s v="Customer_130"/>
        <s v="Customer_131"/>
        <s v="Customer_132"/>
        <s v="Customer_133"/>
        <s v="Customer_134"/>
        <s v="Customer_135"/>
        <s v="Customer_136"/>
        <s v="Customer_137"/>
        <s v="Customer_138"/>
        <s v="Customer_139"/>
        <s v="Customer_140"/>
        <s v="Customer_141"/>
        <s v="Customer_142"/>
        <s v="Customer_143"/>
        <s v="Customer_144"/>
        <s v="Customer_145"/>
        <s v="Customer_146"/>
        <s v="Customer_147"/>
        <s v="Customer_148"/>
        <s v="Customer_149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69"/>
        <s v="Customer_170"/>
        <s v="Customer_171"/>
        <s v="Customer_172"/>
        <s v="Customer_173"/>
        <s v="Customer_174"/>
        <s v="Customer_175"/>
        <s v="Customer_176"/>
        <s v="Customer_177"/>
        <s v="Customer_178"/>
        <s v="Customer_179"/>
        <s v="Customer_180"/>
        <s v="Customer_181"/>
        <s v="Customer_182"/>
        <s v="Customer_183"/>
        <s v="Customer_184"/>
        <s v="Customer_185"/>
        <s v="Customer_186"/>
        <s v="Customer_187"/>
        <s v="Customer_188"/>
        <s v="Customer_189"/>
        <s v="Customer_190"/>
        <s v="Customer_191"/>
        <s v="Customer_193"/>
        <s v="Customer_194"/>
        <s v="Customer_195"/>
        <s v="Customer_196"/>
        <s v="Customer_197"/>
        <s v="Customer_198"/>
        <s v="Customer_199"/>
      </sharedItems>
    </cacheField>
    <cacheField name="Order_ID" numFmtId="0">
      <sharedItems/>
    </cacheField>
    <cacheField name="Order_Date" numFmtId="14">
      <sharedItems containsDate="1" containsMixedTypes="1" minDate="2023-01-05T00:00:00" maxDate="2025-12-09T00:00:00"/>
    </cacheField>
    <cacheField name="Product" numFmtId="0">
      <sharedItems/>
    </cacheField>
    <cacheField name=" Category" numFmtId="0">
      <sharedItems count="7">
        <s v="Home"/>
        <s v="Electronics"/>
        <s v="Sports"/>
        <s v="Books"/>
        <s v="Clothing"/>
        <s v="Electronic" u="1"/>
        <s v="Nan" u="1"/>
      </sharedItems>
    </cacheField>
    <cacheField name="Quantity" numFmtId="0">
      <sharedItems containsSemiMixedTypes="0" containsString="0" containsNumber="1" containsInteger="1" minValue="0" maxValue="5"/>
    </cacheField>
    <cacheField name="Price" numFmtId="2">
      <sharedItems containsSemiMixedTypes="0" containsString="0" containsNumber="1" minValue="0" maxValue="10000" count="92">
        <n v="38"/>
        <n v="0"/>
        <n v="389.05"/>
        <n v="233.92"/>
        <n v="552.51"/>
        <n v="122.06"/>
        <n v="978.63"/>
        <n v="587.67999999999995"/>
        <n v="600.29"/>
        <n v="168.34"/>
        <n v="400"/>
        <n v="865.77"/>
        <n v="752.13"/>
        <n v="411.81"/>
        <n v="413.13"/>
        <n v="796.84"/>
        <n v="10000"/>
        <n v="247.82"/>
        <n v="438.19"/>
        <n v="523.01"/>
        <n v="556.92999999999995"/>
        <n v="615.91"/>
        <n v="765.69"/>
        <n v="836.8"/>
        <n v="336.02"/>
        <n v="898.69"/>
        <n v="736.71"/>
        <n v="616.63"/>
        <n v="266.7"/>
        <n v="343.24"/>
        <n v="591.53"/>
        <n v="446.19"/>
        <n v="696.71"/>
        <n v="100"/>
        <n v="531.05999999999995"/>
        <n v="681.38"/>
        <n v="588.98"/>
        <n v="546.04"/>
        <n v="645.26"/>
        <n v="826.77"/>
        <n v="849.07"/>
        <n v="860.99"/>
        <n v="705.42"/>
        <n v="596.15"/>
        <n v="660.98"/>
        <n v="896.38"/>
        <n v="206.19"/>
        <n v="457.16"/>
        <n v="233.11"/>
        <n v="278.89999999999998"/>
        <n v="789.64"/>
        <n v="40.950000000000003"/>
        <n v="275.10000000000002"/>
        <n v="933.58"/>
        <n v="163.16"/>
        <n v="242.52"/>
        <n v="209.32"/>
        <n v="155.76"/>
        <n v="235.26"/>
        <n v="587.64"/>
        <n v="443.13"/>
        <n v="569.38"/>
        <n v="593.92999999999995"/>
        <n v="141.49"/>
        <n v="582.13"/>
        <n v="741.63"/>
        <n v="688.68"/>
        <n v="942.76"/>
        <n v="351.89"/>
        <n v="187.48"/>
        <n v="111.36"/>
        <n v="530.52"/>
        <n v="69.48"/>
        <n v="472.14"/>
        <n v="868.67"/>
        <n v="418.38"/>
        <n v="266.48"/>
        <n v="538.35"/>
        <n v="101.19"/>
        <n v="730.92"/>
        <n v="365.34"/>
        <n v="882.96"/>
        <n v="504.05"/>
        <n v="814.68"/>
        <n v="920.37"/>
        <n v="881.02"/>
        <n v="522.02"/>
        <n v="944.54"/>
        <n v="817.46"/>
        <n v="160.16"/>
        <n v="497.01"/>
        <n v="372.28"/>
      </sharedItems>
    </cacheField>
    <cacheField name="Payment_Method" numFmtId="0">
      <sharedItems count="4">
        <s v="Cash on Delivery"/>
        <s v="PayPal"/>
        <s v="Bank Transfer"/>
        <s v="Credit Card"/>
      </sharedItems>
    </cacheField>
    <cacheField name="Status" numFmtId="0">
      <sharedItems count="5">
        <s v="Shipped"/>
        <s v="Processing"/>
        <s v="Delivered"/>
        <s v="Cancelled"/>
        <s v="Returned"/>
      </sharedItems>
    </cacheField>
    <cacheField name="Total" numFmtId="0">
      <sharedItems containsSemiMixedTypes="0" containsString="0" containsNumber="1" minValue="0" maxValue="20000"/>
    </cacheField>
  </cacheFields>
  <extLst>
    <ext xmlns:x14="http://schemas.microsoft.com/office/spreadsheetml/2009/9/main" uri="{725AE2AE-9491-48be-B2B4-4EB974FC3084}">
      <x14:pivotCacheDefinition pivotCacheId="1917272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100"/>
    <x v="0"/>
    <s v="ORD-41285"/>
    <s v="11/22/2024"/>
    <s v="Blender"/>
    <x v="0"/>
    <n v="3"/>
    <x v="0"/>
    <x v="0"/>
    <x v="0"/>
    <n v="114"/>
  </r>
  <r>
    <n v="101"/>
    <x v="1"/>
    <s v="ORD-35783"/>
    <d v="2025-05-07T00:00:00"/>
    <s v="Smartphone"/>
    <x v="1"/>
    <n v="2"/>
    <x v="1"/>
    <x v="1"/>
    <x v="1"/>
    <n v="0"/>
  </r>
  <r>
    <n v="102"/>
    <x v="2"/>
    <s v="ORD-84355"/>
    <s v="12/23/2024"/>
    <s v="Tennis Racket"/>
    <x v="2"/>
    <n v="1"/>
    <x v="2"/>
    <x v="1"/>
    <x v="2"/>
    <n v="389.05"/>
  </r>
  <r>
    <n v="103"/>
    <x v="3"/>
    <s v="ORD-57811"/>
    <s v="3/19/2025"/>
    <s v="Science"/>
    <x v="3"/>
    <n v="5"/>
    <x v="3"/>
    <x v="1"/>
    <x v="1"/>
    <n v="1169.5999999999999"/>
  </r>
  <r>
    <n v="104"/>
    <x v="4"/>
    <s v="ORD-93614"/>
    <s v="10/20/2025"/>
    <s v="Biography"/>
    <x v="3"/>
    <n v="1"/>
    <x v="4"/>
    <x v="0"/>
    <x v="1"/>
    <n v="552.51"/>
  </r>
  <r>
    <n v="105"/>
    <x v="5"/>
    <s v="ORD-22442"/>
    <s v="11/20/2024"/>
    <s v="Tennis Racket"/>
    <x v="2"/>
    <n v="3"/>
    <x v="5"/>
    <x v="0"/>
    <x v="3"/>
    <n v="366.18"/>
  </r>
  <r>
    <n v="106"/>
    <x v="6"/>
    <s v="ORD-25885"/>
    <d v="2025-02-02T00:00:00"/>
    <s v="Blender"/>
    <x v="0"/>
    <n v="0"/>
    <x v="6"/>
    <x v="2"/>
    <x v="1"/>
    <n v="0"/>
  </r>
  <r>
    <n v="107"/>
    <x v="7"/>
    <s v="ORD-89122"/>
    <d v="2025-03-01T00:00:00"/>
    <s v="Biography"/>
    <x v="3"/>
    <n v="5"/>
    <x v="7"/>
    <x v="1"/>
    <x v="4"/>
    <n v="2938.3999999999996"/>
  </r>
  <r>
    <n v="108"/>
    <x v="8"/>
    <s v="ORD-64400"/>
    <s v="10/23/2025"/>
    <s v="Science"/>
    <x v="3"/>
    <n v="1"/>
    <x v="8"/>
    <x v="0"/>
    <x v="1"/>
    <n v="600.29"/>
  </r>
  <r>
    <n v="109"/>
    <x v="9"/>
    <s v="ORD-18512"/>
    <d v="2025-03-05T00:00:00"/>
    <s v="Tennis Racket"/>
    <x v="2"/>
    <n v="5"/>
    <x v="9"/>
    <x v="3"/>
    <x v="0"/>
    <n v="841.7"/>
  </r>
  <r>
    <n v="110"/>
    <x v="10"/>
    <s v="ORD-61020"/>
    <s v="9/26/2025"/>
    <s v="Basketball"/>
    <x v="2"/>
    <n v="5"/>
    <x v="10"/>
    <x v="0"/>
    <x v="3"/>
    <n v="2000"/>
  </r>
  <r>
    <n v="111"/>
    <x v="11"/>
    <s v="ORD-72349"/>
    <s v="10/22/2025"/>
    <s v="Comics"/>
    <x v="3"/>
    <n v="2"/>
    <x v="11"/>
    <x v="3"/>
    <x v="4"/>
    <n v="1731.54"/>
  </r>
  <r>
    <n v="112"/>
    <x v="12"/>
    <s v="ORD-80867"/>
    <d v="2025-02-03T00:00:00"/>
    <s v="Shoes"/>
    <x v="4"/>
    <n v="4"/>
    <x v="12"/>
    <x v="2"/>
    <x v="2"/>
    <n v="3008.52"/>
  </r>
  <r>
    <n v="113"/>
    <x v="13"/>
    <s v="ORD-23994"/>
    <s v="7/24/2025"/>
    <s v="Fiction"/>
    <x v="3"/>
    <n v="1"/>
    <x v="13"/>
    <x v="3"/>
    <x v="1"/>
    <n v="411.81"/>
  </r>
  <r>
    <n v="114"/>
    <x v="14"/>
    <s v="ORD-77417"/>
    <d v="2023-05-01T00:00:00"/>
    <s v="Smartphone"/>
    <x v="1"/>
    <n v="2"/>
    <x v="14"/>
    <x v="0"/>
    <x v="0"/>
    <n v="826.26"/>
  </r>
  <r>
    <n v="115"/>
    <x v="15"/>
    <s v="ORD-72778"/>
    <d v="2025-10-01T00:00:00"/>
    <s v="Fiction"/>
    <x v="3"/>
    <n v="2"/>
    <x v="15"/>
    <x v="0"/>
    <x v="4"/>
    <n v="1593.68"/>
  </r>
  <r>
    <n v="116"/>
    <x v="16"/>
    <s v="ORD-63660"/>
    <s v="10/30/2025"/>
    <s v="Microwave"/>
    <x v="0"/>
    <n v="4"/>
    <x v="1"/>
    <x v="0"/>
    <x v="1"/>
    <n v="0"/>
  </r>
  <r>
    <n v="117"/>
    <x v="17"/>
    <s v="ORD-72751"/>
    <d v="2025-12-02T00:00:00"/>
    <s v="Blender"/>
    <x v="1"/>
    <n v="2"/>
    <x v="16"/>
    <x v="0"/>
    <x v="1"/>
    <n v="20000"/>
  </r>
  <r>
    <n v="118"/>
    <x v="18"/>
    <s v="ORD-96061"/>
    <s v="5/31/2025"/>
    <s v="Science"/>
    <x v="3"/>
    <n v="5"/>
    <x v="17"/>
    <x v="1"/>
    <x v="1"/>
    <n v="1239.0999999999999"/>
  </r>
  <r>
    <n v="119"/>
    <x v="19"/>
    <s v="ORD-76016"/>
    <s v="12/19/2024"/>
    <s v="Basketball"/>
    <x v="2"/>
    <n v="4"/>
    <x v="18"/>
    <x v="0"/>
    <x v="1"/>
    <n v="1752.76"/>
  </r>
  <r>
    <n v="120"/>
    <x v="20"/>
    <s v="ORD-14659"/>
    <s v="6/13/2025"/>
    <s v="Yoga Mat"/>
    <x v="1"/>
    <n v="5"/>
    <x v="1"/>
    <x v="3"/>
    <x v="3"/>
    <n v="0"/>
  </r>
  <r>
    <n v="121"/>
    <x v="21"/>
    <s v="ORD-80067"/>
    <d v="2025-11-10T00:00:00"/>
    <s v="Basketball"/>
    <x v="2"/>
    <n v="4"/>
    <x v="19"/>
    <x v="3"/>
    <x v="2"/>
    <n v="2092.04"/>
  </r>
  <r>
    <n v="122"/>
    <x v="22"/>
    <s v="ORD-21443"/>
    <s v="5/16/2025"/>
    <s v="Microwave"/>
    <x v="0"/>
    <n v="2"/>
    <x v="20"/>
    <x v="1"/>
    <x v="0"/>
    <n v="1113.8599999999999"/>
  </r>
  <r>
    <n v="123"/>
    <x v="23"/>
    <s v="ORD-11314"/>
    <d v="2025-06-10T00:00:00"/>
    <s v="Vacuum"/>
    <x v="1"/>
    <n v="3"/>
    <x v="21"/>
    <x v="0"/>
    <x v="3"/>
    <n v="1847.73"/>
  </r>
  <r>
    <n v="124"/>
    <x v="24"/>
    <s v="ORD-46136"/>
    <s v="5/31/2025"/>
    <s v="Comics"/>
    <x v="3"/>
    <n v="5"/>
    <x v="1"/>
    <x v="1"/>
    <x v="3"/>
    <n v="0"/>
  </r>
  <r>
    <n v="125"/>
    <x v="25"/>
    <s v="ORD-23202"/>
    <d v="2025-09-02T00:00:00"/>
    <s v="Comics"/>
    <x v="3"/>
    <n v="4"/>
    <x v="22"/>
    <x v="1"/>
    <x v="0"/>
    <n v="3062.76"/>
  </r>
  <r>
    <n v="126"/>
    <x v="26"/>
    <s v="ORD-11261"/>
    <s v="5/18/2025"/>
    <s v="Shoes"/>
    <x v="4"/>
    <n v="4"/>
    <x v="23"/>
    <x v="2"/>
    <x v="3"/>
    <n v="3347.2"/>
  </r>
  <r>
    <n v="127"/>
    <x v="27"/>
    <s v="ORD-65482"/>
    <d v="2025-12-05T00:00:00"/>
    <s v="Blender"/>
    <x v="0"/>
    <n v="5"/>
    <x v="24"/>
    <x v="2"/>
    <x v="4"/>
    <n v="1680.1"/>
  </r>
  <r>
    <n v="128"/>
    <x v="28"/>
    <s v="ORD-12270"/>
    <d v="2024-10-11T00:00:00"/>
    <s v="Lamp"/>
    <x v="1"/>
    <n v="3"/>
    <x v="25"/>
    <x v="2"/>
    <x v="2"/>
    <n v="2696.07"/>
  </r>
  <r>
    <n v="129"/>
    <x v="29"/>
    <s v="ORD-48863"/>
    <s v="6/22/2025"/>
    <s v="Science"/>
    <x v="3"/>
    <n v="4"/>
    <x v="26"/>
    <x v="2"/>
    <x v="4"/>
    <n v="2946.84"/>
  </r>
  <r>
    <n v="130"/>
    <x v="30"/>
    <s v="ORD-34007"/>
    <s v="8/15/2025"/>
    <s v="Tennis Racket"/>
    <x v="2"/>
    <n v="2"/>
    <x v="1"/>
    <x v="2"/>
    <x v="1"/>
    <n v="0"/>
  </r>
  <r>
    <n v="131"/>
    <x v="31"/>
    <s v="ORD-91396"/>
    <d v="2025-11-06T00:00:00"/>
    <s v="Lamp"/>
    <x v="0"/>
    <n v="5"/>
    <x v="27"/>
    <x v="1"/>
    <x v="0"/>
    <n v="3083.15"/>
  </r>
  <r>
    <n v="132"/>
    <x v="32"/>
    <s v="ORD-40186"/>
    <d v="2025-02-04T00:00:00"/>
    <s v="Yoga Mat"/>
    <x v="1"/>
    <n v="1"/>
    <x v="28"/>
    <x v="1"/>
    <x v="2"/>
    <n v="266.7"/>
  </r>
  <r>
    <n v="133"/>
    <x v="33"/>
    <s v="ORD-68182"/>
    <d v="2024-05-12T00:00:00"/>
    <s v="Biography"/>
    <x v="1"/>
    <n v="5"/>
    <x v="29"/>
    <x v="3"/>
    <x v="0"/>
    <n v="1716.2"/>
  </r>
  <r>
    <n v="134"/>
    <x v="34"/>
    <s v="ORD-16585"/>
    <d v="2025-04-10T00:00:00"/>
    <s v="T-Shirt"/>
    <x v="4"/>
    <n v="5"/>
    <x v="30"/>
    <x v="1"/>
    <x v="0"/>
    <n v="2957.6499999999996"/>
  </r>
  <r>
    <n v="135"/>
    <x v="35"/>
    <s v="ORD-33656"/>
    <d v="2025-09-02T00:00:00"/>
    <s v="Smartwatch"/>
    <x v="1"/>
    <n v="4"/>
    <x v="31"/>
    <x v="0"/>
    <x v="3"/>
    <n v="1784.76"/>
  </r>
  <r>
    <n v="136"/>
    <x v="36"/>
    <s v="ORD-20985"/>
    <d v="2025-12-06T00:00:00"/>
    <s v="Headphones"/>
    <x v="1"/>
    <n v="1"/>
    <x v="32"/>
    <x v="3"/>
    <x v="2"/>
    <n v="696.71"/>
  </r>
  <r>
    <n v="137"/>
    <x v="37"/>
    <s v="ORD-91254"/>
    <s v="2/23/2025"/>
    <s v="Vacuum"/>
    <x v="0"/>
    <n v="3"/>
    <x v="33"/>
    <x v="0"/>
    <x v="2"/>
    <n v="300"/>
  </r>
  <r>
    <n v="138"/>
    <x v="38"/>
    <s v="ORD-34319"/>
    <d v="2025-09-08T00:00:00"/>
    <s v="Lamp"/>
    <x v="0"/>
    <n v="1"/>
    <x v="34"/>
    <x v="1"/>
    <x v="1"/>
    <n v="531.05999999999995"/>
  </r>
  <r>
    <n v="139"/>
    <x v="39"/>
    <s v="ORD-38418"/>
    <d v="2025-09-02T00:00:00"/>
    <s v="Smartphone"/>
    <x v="1"/>
    <n v="2"/>
    <x v="35"/>
    <x v="3"/>
    <x v="3"/>
    <n v="1362.76"/>
  </r>
  <r>
    <n v="140"/>
    <x v="40"/>
    <s v="ORD-67096"/>
    <s v="2/26/2025"/>
    <s v="Fiction"/>
    <x v="3"/>
    <n v="4"/>
    <x v="36"/>
    <x v="3"/>
    <x v="4"/>
    <n v="2355.92"/>
  </r>
  <r>
    <n v="141"/>
    <x v="41"/>
    <s v="ORD-45059"/>
    <s v="2/13/2025"/>
    <s v="Fiction"/>
    <x v="3"/>
    <n v="3"/>
    <x v="37"/>
    <x v="0"/>
    <x v="4"/>
    <n v="1638.12"/>
  </r>
  <r>
    <n v="142"/>
    <x v="42"/>
    <s v="ORD-69018"/>
    <s v="10/30/2025"/>
    <s v="Shoes"/>
    <x v="4"/>
    <n v="5"/>
    <x v="38"/>
    <x v="3"/>
    <x v="0"/>
    <n v="3226.3"/>
  </r>
  <r>
    <n v="143"/>
    <x v="43"/>
    <s v="ORD-14329"/>
    <d v="2025-11-07T00:00:00"/>
    <s v="T-Shirt"/>
    <x v="4"/>
    <n v="5"/>
    <x v="39"/>
    <x v="2"/>
    <x v="3"/>
    <n v="4133.8500000000004"/>
  </r>
  <r>
    <n v="144"/>
    <x v="44"/>
    <s v="ORD-89452"/>
    <s v="1/27/2025"/>
    <s v="Football"/>
    <x v="2"/>
    <n v="5"/>
    <x v="40"/>
    <x v="2"/>
    <x v="1"/>
    <n v="4245.3500000000004"/>
  </r>
  <r>
    <n v="145"/>
    <x v="45"/>
    <s v="ORD-75314"/>
    <d v="2023-01-05T00:00:00"/>
    <s v="Laptop"/>
    <x v="1"/>
    <n v="2"/>
    <x v="41"/>
    <x v="2"/>
    <x v="4"/>
    <n v="1721.98"/>
  </r>
  <r>
    <n v="146"/>
    <x v="46"/>
    <s v="ORD-32755"/>
    <d v="2025-09-07T00:00:00"/>
    <s v="Basketball"/>
    <x v="1"/>
    <n v="2"/>
    <x v="42"/>
    <x v="2"/>
    <x v="1"/>
    <n v="1410.84"/>
  </r>
  <r>
    <n v="147"/>
    <x v="47"/>
    <s v="ORD-80707"/>
    <d v="2025-01-05T00:00:00"/>
    <s v="Jacket"/>
    <x v="4"/>
    <n v="4"/>
    <x v="43"/>
    <x v="0"/>
    <x v="0"/>
    <n v="2384.6"/>
  </r>
  <r>
    <n v="148"/>
    <x v="48"/>
    <s v="ORD-38423"/>
    <s v="3/13/2025"/>
    <s v="Tennis Racket"/>
    <x v="2"/>
    <n v="1"/>
    <x v="44"/>
    <x v="0"/>
    <x v="4"/>
    <n v="660.98"/>
  </r>
  <r>
    <n v="149"/>
    <x v="49"/>
    <s v="ORD-95911"/>
    <s v="6/29/2025"/>
    <s v="Comics"/>
    <x v="3"/>
    <n v="5"/>
    <x v="45"/>
    <x v="2"/>
    <x v="3"/>
    <n v="4481.8999999999996"/>
  </r>
  <r>
    <n v="150"/>
    <x v="50"/>
    <s v="ORD-76902"/>
    <s v="11/27/2024"/>
    <s v="Yoga Mat"/>
    <x v="2"/>
    <n v="1"/>
    <x v="46"/>
    <x v="3"/>
    <x v="4"/>
    <n v="206.19"/>
  </r>
  <r>
    <n v="151"/>
    <x v="51"/>
    <s v="ORD-56552"/>
    <d v="2025-01-07T00:00:00"/>
    <s v="Comics"/>
    <x v="3"/>
    <n v="2"/>
    <x v="47"/>
    <x v="1"/>
    <x v="1"/>
    <n v="914.32"/>
  </r>
  <r>
    <n v="152"/>
    <x v="52"/>
    <s v="ORD-72869"/>
    <s v="9/22/2025"/>
    <s v="Lamp"/>
    <x v="0"/>
    <n v="3"/>
    <x v="48"/>
    <x v="1"/>
    <x v="4"/>
    <n v="699.33"/>
  </r>
  <r>
    <n v="153"/>
    <x v="53"/>
    <s v="ORD-29721"/>
    <s v="7/16/2025"/>
    <s v="Yoga Mat"/>
    <x v="2"/>
    <n v="4"/>
    <x v="49"/>
    <x v="0"/>
    <x v="1"/>
    <n v="1115.5999999999999"/>
  </r>
  <r>
    <n v="154"/>
    <x v="54"/>
    <s v="ORD-95990"/>
    <s v="2/21/2025"/>
    <s v="Blender"/>
    <x v="0"/>
    <n v="5"/>
    <x v="50"/>
    <x v="0"/>
    <x v="3"/>
    <n v="3948.2"/>
  </r>
  <r>
    <n v="155"/>
    <x v="55"/>
    <s v="ORD-20182"/>
    <d v="2025-01-05T00:00:00"/>
    <s v="Shoes"/>
    <x v="4"/>
    <n v="1"/>
    <x v="51"/>
    <x v="1"/>
    <x v="4"/>
    <n v="40.950000000000003"/>
  </r>
  <r>
    <n v="156"/>
    <x v="56"/>
    <s v="ORD-34679"/>
    <s v="11/28/2024"/>
    <s v="Jeans"/>
    <x v="4"/>
    <n v="2"/>
    <x v="1"/>
    <x v="2"/>
    <x v="0"/>
    <n v="0"/>
  </r>
  <r>
    <n v="157"/>
    <x v="57"/>
    <s v="ORD-34407"/>
    <d v="2025-06-11T00:00:00"/>
    <s v="Jacket"/>
    <x v="4"/>
    <n v="4"/>
    <x v="52"/>
    <x v="2"/>
    <x v="1"/>
    <n v="1100.4000000000001"/>
  </r>
  <r>
    <n v="158"/>
    <x v="58"/>
    <s v="ORD-35817"/>
    <d v="2025-05-04T00:00:00"/>
    <s v="Smartwatch"/>
    <x v="1"/>
    <n v="1"/>
    <x v="53"/>
    <x v="0"/>
    <x v="0"/>
    <n v="933.58"/>
  </r>
  <r>
    <n v="159"/>
    <x v="59"/>
    <s v="ORD-98162"/>
    <s v="7/28/2025"/>
    <s v="Microwave"/>
    <x v="0"/>
    <n v="3"/>
    <x v="54"/>
    <x v="1"/>
    <x v="0"/>
    <n v="489.48"/>
  </r>
  <r>
    <n v="160"/>
    <x v="60"/>
    <s v="ORD-96037"/>
    <d v="2025-03-01T00:00:00"/>
    <s v="Science"/>
    <x v="3"/>
    <n v="5"/>
    <x v="55"/>
    <x v="0"/>
    <x v="4"/>
    <n v="1212.6000000000001"/>
  </r>
  <r>
    <n v="161"/>
    <x v="61"/>
    <s v="ORD-27653"/>
    <s v="12/15/2024"/>
    <s v="Science"/>
    <x v="3"/>
    <n v="4"/>
    <x v="56"/>
    <x v="2"/>
    <x v="0"/>
    <n v="837.28"/>
  </r>
  <r>
    <n v="162"/>
    <x v="62"/>
    <s v="ORD-27743"/>
    <s v="5/19/2025"/>
    <s v="Blender"/>
    <x v="0"/>
    <n v="2"/>
    <x v="57"/>
    <x v="3"/>
    <x v="4"/>
    <n v="311.52"/>
  </r>
  <r>
    <n v="163"/>
    <x v="63"/>
    <s v="ORD-24378"/>
    <d v="2023-05-01T00:00:00"/>
    <s v="Smartwatch"/>
    <x v="1"/>
    <n v="3"/>
    <x v="58"/>
    <x v="0"/>
    <x v="0"/>
    <n v="705.78"/>
  </r>
  <r>
    <n v="164"/>
    <x v="64"/>
    <s v="ORD-23010"/>
    <d v="2025-09-02T00:00:00"/>
    <s v="Tennis Racket"/>
    <x v="2"/>
    <n v="0"/>
    <x v="59"/>
    <x v="3"/>
    <x v="4"/>
    <n v="0"/>
  </r>
  <r>
    <n v="165"/>
    <x v="65"/>
    <s v="ORD-55695"/>
    <d v="2024-08-11T00:00:00"/>
    <s v="Shoes"/>
    <x v="4"/>
    <n v="2"/>
    <x v="60"/>
    <x v="3"/>
    <x v="2"/>
    <n v="886.26"/>
  </r>
  <r>
    <n v="166"/>
    <x v="66"/>
    <s v="ORD-97756"/>
    <d v="2025-03-07T00:00:00"/>
    <s v="T-Shirt"/>
    <x v="1"/>
    <n v="2"/>
    <x v="61"/>
    <x v="0"/>
    <x v="0"/>
    <n v="1138.76"/>
  </r>
  <r>
    <n v="167"/>
    <x v="67"/>
    <s v="ORD-30329"/>
    <d v="2025-07-08T00:00:00"/>
    <s v="Basketball"/>
    <x v="2"/>
    <n v="0"/>
    <x v="62"/>
    <x v="0"/>
    <x v="1"/>
    <n v="0"/>
  </r>
  <r>
    <n v="168"/>
    <x v="68"/>
    <s v="ORD-53430"/>
    <d v="2025-04-11T00:00:00"/>
    <s v="Biography"/>
    <x v="3"/>
    <n v="2"/>
    <x v="63"/>
    <x v="1"/>
    <x v="3"/>
    <n v="282.98"/>
  </r>
  <r>
    <n v="169"/>
    <x v="69"/>
    <s v="ORD-75539"/>
    <d v="2025-12-08T00:00:00"/>
    <s v="Basketball"/>
    <x v="2"/>
    <n v="1"/>
    <x v="64"/>
    <x v="3"/>
    <x v="4"/>
    <n v="582.13"/>
  </r>
  <r>
    <n v="170"/>
    <x v="70"/>
    <s v="ORD-21530"/>
    <d v="2025-03-10T00:00:00"/>
    <s v="Jeans"/>
    <x v="4"/>
    <n v="5"/>
    <x v="65"/>
    <x v="2"/>
    <x v="1"/>
    <n v="3708.15"/>
  </r>
  <r>
    <n v="171"/>
    <x v="71"/>
    <s v="ORD-99790"/>
    <d v="2024-06-12T00:00:00"/>
    <s v="Shoes"/>
    <x v="4"/>
    <n v="3"/>
    <x v="66"/>
    <x v="1"/>
    <x v="1"/>
    <n v="2066.04"/>
  </r>
  <r>
    <n v="172"/>
    <x v="72"/>
    <s v="ORD-48008"/>
    <s v="11/18/2024"/>
    <s v="Comics"/>
    <x v="3"/>
    <n v="2"/>
    <x v="67"/>
    <x v="2"/>
    <x v="4"/>
    <n v="1885.52"/>
  </r>
  <r>
    <n v="173"/>
    <x v="73"/>
    <s v="ORD-42171"/>
    <d v="2025-11-10T00:00:00"/>
    <s v="Lamp"/>
    <x v="0"/>
    <n v="5"/>
    <x v="68"/>
    <x v="3"/>
    <x v="0"/>
    <n v="1759.4499999999998"/>
  </r>
  <r>
    <n v="174"/>
    <x v="74"/>
    <s v="ORD-16766"/>
    <s v="9/20/2025"/>
    <s v="Microwave"/>
    <x v="1"/>
    <n v="4"/>
    <x v="69"/>
    <x v="3"/>
    <x v="4"/>
    <n v="749.92"/>
  </r>
  <r>
    <n v="175"/>
    <x v="75"/>
    <s v="ORD-56651"/>
    <s v="2/24/2025"/>
    <s v="Headphones"/>
    <x v="1"/>
    <n v="1"/>
    <x v="70"/>
    <x v="3"/>
    <x v="1"/>
    <n v="111.36"/>
  </r>
  <r>
    <n v="176"/>
    <x v="76"/>
    <s v="ORD-95794"/>
    <s v="7/22/2025"/>
    <s v="Comics"/>
    <x v="3"/>
    <n v="5"/>
    <x v="71"/>
    <x v="0"/>
    <x v="0"/>
    <n v="2652.6"/>
  </r>
  <r>
    <n v="177"/>
    <x v="77"/>
    <s v="ORD-64136"/>
    <s v="7/28/2025"/>
    <s v="Laptop"/>
    <x v="1"/>
    <n v="1"/>
    <x v="72"/>
    <x v="2"/>
    <x v="4"/>
    <n v="69.48"/>
  </r>
  <r>
    <n v="178"/>
    <x v="78"/>
    <s v="ORD-89906"/>
    <s v="9/18/2025"/>
    <s v="Tennis Racket"/>
    <x v="2"/>
    <n v="3"/>
    <x v="73"/>
    <x v="1"/>
    <x v="4"/>
    <n v="1416.42"/>
  </r>
  <r>
    <n v="179"/>
    <x v="79"/>
    <s v="ORD-99328"/>
    <d v="2025-03-09T00:00:00"/>
    <s v="Yoga Mat"/>
    <x v="2"/>
    <n v="3"/>
    <x v="74"/>
    <x v="1"/>
    <x v="2"/>
    <n v="2606.0099999999998"/>
  </r>
  <r>
    <n v="180"/>
    <x v="80"/>
    <s v="ORD-86629"/>
    <s v="3/26/2025"/>
    <s v="Laptop"/>
    <x v="1"/>
    <n v="2"/>
    <x v="75"/>
    <x v="3"/>
    <x v="1"/>
    <n v="836.76"/>
  </r>
  <r>
    <n v="181"/>
    <x v="81"/>
    <s v="ORD-54481"/>
    <s v="12/29/2024"/>
    <s v="Smartphone"/>
    <x v="1"/>
    <n v="1"/>
    <x v="76"/>
    <x v="0"/>
    <x v="3"/>
    <n v="266.48"/>
  </r>
  <r>
    <n v="182"/>
    <x v="82"/>
    <s v="ORD-79672"/>
    <d v="2025-03-08T00:00:00"/>
    <s v="Shoes"/>
    <x v="4"/>
    <n v="4"/>
    <x v="77"/>
    <x v="1"/>
    <x v="1"/>
    <n v="2153.4"/>
  </r>
  <r>
    <n v="183"/>
    <x v="83"/>
    <s v="ORD-20916"/>
    <d v="2025-10-03T00:00:00"/>
    <s v="Shoes"/>
    <x v="4"/>
    <n v="5"/>
    <x v="1"/>
    <x v="0"/>
    <x v="4"/>
    <n v="0"/>
  </r>
  <r>
    <n v="184"/>
    <x v="84"/>
    <s v="ORD-67799"/>
    <s v="2/15/2025"/>
    <s v="Jeans"/>
    <x v="4"/>
    <n v="4"/>
    <x v="78"/>
    <x v="2"/>
    <x v="1"/>
    <n v="404.76"/>
  </r>
  <r>
    <n v="185"/>
    <x v="85"/>
    <s v="ORD-57123"/>
    <s v="8/14/2025"/>
    <s v="Football"/>
    <x v="2"/>
    <n v="2"/>
    <x v="79"/>
    <x v="0"/>
    <x v="3"/>
    <n v="1461.84"/>
  </r>
  <r>
    <n v="186"/>
    <x v="86"/>
    <s v="ORD-90569"/>
    <d v="2025-06-10T00:00:00"/>
    <s v="Laptop"/>
    <x v="1"/>
    <n v="1"/>
    <x v="80"/>
    <x v="2"/>
    <x v="2"/>
    <n v="365.34"/>
  </r>
  <r>
    <n v="187"/>
    <x v="87"/>
    <s v="ORD-41292"/>
    <s v="11/19/2024"/>
    <s v="Smartphone"/>
    <x v="1"/>
    <n v="3"/>
    <x v="81"/>
    <x v="2"/>
    <x v="4"/>
    <n v="2648.88"/>
  </r>
  <r>
    <n v="188"/>
    <x v="88"/>
    <s v="ORD-58590"/>
    <s v="11/19/2024"/>
    <s v="Microwave"/>
    <x v="0"/>
    <n v="5"/>
    <x v="82"/>
    <x v="0"/>
    <x v="0"/>
    <n v="2520.25"/>
  </r>
  <r>
    <n v="189"/>
    <x v="89"/>
    <s v="ORD-30627"/>
    <s v="8/14/2025"/>
    <s v="Lamp"/>
    <x v="0"/>
    <n v="1"/>
    <x v="83"/>
    <x v="0"/>
    <x v="4"/>
    <n v="814.68"/>
  </r>
  <r>
    <n v="190"/>
    <x v="90"/>
    <s v="ORD-38469"/>
    <s v="6/29/2025"/>
    <s v="Vacuum"/>
    <x v="0"/>
    <n v="1"/>
    <x v="84"/>
    <x v="2"/>
    <x v="1"/>
    <n v="920.37"/>
  </r>
  <r>
    <n v="191"/>
    <x v="91"/>
    <s v="ORD-41810"/>
    <s v="7/18/2025"/>
    <s v="Fiction"/>
    <x v="3"/>
    <n v="2"/>
    <x v="85"/>
    <x v="0"/>
    <x v="4"/>
    <n v="1762.04"/>
  </r>
  <r>
    <n v="193"/>
    <x v="92"/>
    <s v="ORD-42475"/>
    <d v="2025-06-06T00:00:00"/>
    <s v="Basketball"/>
    <x v="2"/>
    <n v="0"/>
    <x v="86"/>
    <x v="1"/>
    <x v="0"/>
    <n v="0"/>
  </r>
  <r>
    <n v="194"/>
    <x v="93"/>
    <s v="ORD-69764"/>
    <d v="2025-10-02T00:00:00"/>
    <s v="Lamp"/>
    <x v="0"/>
    <n v="5"/>
    <x v="87"/>
    <x v="0"/>
    <x v="4"/>
    <n v="4722.7"/>
  </r>
  <r>
    <n v="195"/>
    <x v="94"/>
    <s v="ORD-82876"/>
    <s v="6/19/2025"/>
    <s v="Biography"/>
    <x v="3"/>
    <n v="5"/>
    <x v="88"/>
    <x v="0"/>
    <x v="4"/>
    <n v="4087.3"/>
  </r>
  <r>
    <n v="196"/>
    <x v="95"/>
    <s v="ORD-78384"/>
    <s v="12/23/2024"/>
    <s v="Vacuum"/>
    <x v="0"/>
    <n v="0"/>
    <x v="1"/>
    <x v="1"/>
    <x v="2"/>
    <n v="0"/>
  </r>
  <r>
    <n v="197"/>
    <x v="96"/>
    <s v="ORD-79139"/>
    <s v="6/23/2025"/>
    <s v="Blender"/>
    <x v="0"/>
    <n v="1"/>
    <x v="89"/>
    <x v="1"/>
    <x v="3"/>
    <n v="160.16"/>
  </r>
  <r>
    <n v="198"/>
    <x v="97"/>
    <s v="ORD-14608"/>
    <s v="7/27/2025"/>
    <s v="Vacuum"/>
    <x v="0"/>
    <n v="2"/>
    <x v="90"/>
    <x v="0"/>
    <x v="0"/>
    <n v="994.02"/>
  </r>
  <r>
    <n v="199"/>
    <x v="98"/>
    <s v="ORD-82922"/>
    <s v="1/22/2025"/>
    <s v="Blender"/>
    <x v="0"/>
    <n v="5"/>
    <x v="91"/>
    <x v="3"/>
    <x v="0"/>
    <n v="1861.3999999999999"/>
  </r>
  <r>
    <n v="175"/>
    <x v="75"/>
    <s v="ORD-56651"/>
    <s v="2/24/2025"/>
    <s v="Headphones"/>
    <x v="1"/>
    <n v="1"/>
    <x v="70"/>
    <x v="3"/>
    <x v="1"/>
    <n v="111.36"/>
  </r>
  <r>
    <n v="142"/>
    <x v="42"/>
    <s v="ORD-69018"/>
    <s v="10/30/2025"/>
    <s v="Shoes"/>
    <x v="4"/>
    <n v="5"/>
    <x v="38"/>
    <x v="3"/>
    <x v="0"/>
    <n v="3226.3"/>
  </r>
  <r>
    <n v="146"/>
    <x v="46"/>
    <s v="ORD-32755"/>
    <d v="2025-09-07T00:00:00"/>
    <s v="Basketball"/>
    <x v="1"/>
    <n v="2"/>
    <x v="42"/>
    <x v="2"/>
    <x v="1"/>
    <n v="1410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4B947-3273-4DB4-ADB6-35485D11F647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4"/>
        <item m="1" x="5"/>
        <item x="1"/>
        <item x="0"/>
        <item m="1" x="6"/>
        <item x="2"/>
        <item t="default"/>
      </items>
    </pivotField>
    <pivotField compact="0" outline="0" showAll="0"/>
    <pivotField compact="0" numFmtId="2" outline="0" showAll="0">
      <items count="93">
        <item x="1"/>
        <item x="0"/>
        <item x="51"/>
        <item x="72"/>
        <item x="33"/>
        <item x="78"/>
        <item x="70"/>
        <item x="5"/>
        <item x="63"/>
        <item x="57"/>
        <item x="89"/>
        <item x="54"/>
        <item x="9"/>
        <item x="69"/>
        <item x="46"/>
        <item x="56"/>
        <item x="48"/>
        <item x="3"/>
        <item x="58"/>
        <item x="55"/>
        <item x="17"/>
        <item x="76"/>
        <item x="28"/>
        <item x="52"/>
        <item x="49"/>
        <item x="24"/>
        <item x="29"/>
        <item x="68"/>
        <item x="80"/>
        <item x="91"/>
        <item x="2"/>
        <item x="10"/>
        <item x="13"/>
        <item x="14"/>
        <item x="75"/>
        <item x="18"/>
        <item x="60"/>
        <item x="31"/>
        <item x="47"/>
        <item x="73"/>
        <item x="90"/>
        <item x="82"/>
        <item x="86"/>
        <item x="19"/>
        <item x="71"/>
        <item x="34"/>
        <item x="77"/>
        <item x="37"/>
        <item x="4"/>
        <item x="20"/>
        <item x="61"/>
        <item x="64"/>
        <item x="59"/>
        <item x="7"/>
        <item x="36"/>
        <item x="30"/>
        <item x="62"/>
        <item x="43"/>
        <item x="8"/>
        <item x="21"/>
        <item x="27"/>
        <item x="38"/>
        <item x="44"/>
        <item x="35"/>
        <item x="66"/>
        <item x="32"/>
        <item x="42"/>
        <item x="79"/>
        <item x="26"/>
        <item x="65"/>
        <item x="12"/>
        <item x="22"/>
        <item x="50"/>
        <item x="15"/>
        <item x="83"/>
        <item x="88"/>
        <item x="39"/>
        <item x="23"/>
        <item x="40"/>
        <item x="41"/>
        <item x="11"/>
        <item x="74"/>
        <item x="85"/>
        <item x="81"/>
        <item x="45"/>
        <item x="25"/>
        <item x="84"/>
        <item x="53"/>
        <item x="67"/>
        <item x="87"/>
        <item x="6"/>
        <item x="16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5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dataFields count="1">
    <dataField name="Sum of Total" fld="10" baseField="0" baseItem="0" numFmtId="164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62A1D-FE6A-4C85-9272-12DB0DF4C7AB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1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axis="axisRow"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2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C3EBB-ED68-486B-A847-388CA0A97D60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1">
    <pivotField compact="0" outline="0" showAll="0"/>
    <pivotField compact="0" outline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dataField="1"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10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574C7208-B87B-4B30-9AD1-C94CD1FE9DF7}" sourceName="Payment_Method">
  <pivotTables>
    <pivotTable tabId="7" name="PivotTable2"/>
  </pivotTables>
  <data>
    <tabular pivotCacheId="191727219">
      <items count="4">
        <i x="2" s="1"/>
        <i x="0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73E38304-8154-40A9-954F-C1AB72659A4D}" sourceName="Status">
  <pivotTables>
    <pivotTable tabId="6" name="PivotTable1"/>
  </pivotTables>
  <data>
    <tabular pivotCacheId="191727219">
      <items count="5">
        <i x="3" s="1"/>
        <i x="2" s="1"/>
        <i x="1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E37E5090-46B4-4BA3-A644-ED570506ABE7}" cache="Slicer_Status" caption="Statu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Method" xr10:uid="{0DB865FB-2043-4E2A-9F2C-97413588DF32}" cache="Slicer_Payment_Method" caption="Payment_Method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377D-1D30-43C0-8289-96827925585B}">
  <dimension ref="A1:K104"/>
  <sheetViews>
    <sheetView topLeftCell="A88" workbookViewId="0">
      <selection activeCell="G12" sqref="G12"/>
    </sheetView>
  </sheetViews>
  <sheetFormatPr defaultRowHeight="15"/>
  <cols>
    <col min="2" max="2" width="16.140625" bestFit="1" customWidth="1"/>
    <col min="3" max="3" width="10.85546875" bestFit="1" customWidth="1"/>
    <col min="4" max="4" width="11.140625" bestFit="1" customWidth="1"/>
    <col min="5" max="5" width="12.85546875" bestFit="1" customWidth="1"/>
    <col min="6" max="6" width="12.7109375" bestFit="1" customWidth="1"/>
    <col min="7" max="7" width="8.42578125" bestFit="1" customWidth="1"/>
    <col min="8" max="8" width="12.42578125" bestFit="1" customWidth="1"/>
    <col min="9" max="9" width="16.7109375" bestFit="1" customWidth="1"/>
    <col min="10" max="10" width="10.140625" bestFit="1" customWidth="1"/>
    <col min="11" max="11" width="9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38</v>
      </c>
      <c r="I2" t="s">
        <v>16</v>
      </c>
      <c r="J2" t="s">
        <v>17</v>
      </c>
      <c r="K2">
        <v>114</v>
      </c>
    </row>
    <row r="3" spans="1:11">
      <c r="A3">
        <v>101</v>
      </c>
      <c r="B3" t="s">
        <v>18</v>
      </c>
      <c r="C3" t="s">
        <v>19</v>
      </c>
      <c r="D3" s="1">
        <v>45784</v>
      </c>
      <c r="E3" t="s">
        <v>20</v>
      </c>
      <c r="F3" t="s">
        <v>21</v>
      </c>
      <c r="G3">
        <v>2</v>
      </c>
      <c r="H3" t="s">
        <v>22</v>
      </c>
      <c r="I3" t="s">
        <v>23</v>
      </c>
      <c r="J3" t="s">
        <v>24</v>
      </c>
    </row>
    <row r="4" spans="1:11">
      <c r="A4">
        <v>102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1</v>
      </c>
      <c r="H4">
        <v>389.05</v>
      </c>
      <c r="I4" t="s">
        <v>23</v>
      </c>
      <c r="J4" t="s">
        <v>30</v>
      </c>
      <c r="K4">
        <v>389.05</v>
      </c>
    </row>
    <row r="5" spans="1:11">
      <c r="A5">
        <v>103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5</v>
      </c>
      <c r="H5">
        <v>233.92</v>
      </c>
      <c r="I5" t="s">
        <v>23</v>
      </c>
      <c r="J5" t="s">
        <v>24</v>
      </c>
      <c r="K5">
        <v>1169.5999999999999</v>
      </c>
    </row>
    <row r="6" spans="1:11">
      <c r="A6">
        <v>104</v>
      </c>
      <c r="B6" t="s">
        <v>36</v>
      </c>
      <c r="C6" t="s">
        <v>37</v>
      </c>
      <c r="D6" t="s">
        <v>38</v>
      </c>
      <c r="E6" t="s">
        <v>39</v>
      </c>
      <c r="F6" t="s">
        <v>35</v>
      </c>
      <c r="G6">
        <v>1</v>
      </c>
      <c r="H6">
        <v>552.51</v>
      </c>
      <c r="I6" t="s">
        <v>16</v>
      </c>
      <c r="J6" t="s">
        <v>24</v>
      </c>
      <c r="K6">
        <v>552.51</v>
      </c>
    </row>
    <row r="7" spans="1:11">
      <c r="A7">
        <v>105</v>
      </c>
      <c r="B7" t="s">
        <v>40</v>
      </c>
      <c r="C7" t="s">
        <v>41</v>
      </c>
      <c r="D7" t="s">
        <v>42</v>
      </c>
      <c r="E7" t="s">
        <v>28</v>
      </c>
      <c r="F7" t="s">
        <v>29</v>
      </c>
      <c r="G7">
        <v>3</v>
      </c>
      <c r="H7">
        <v>122.06</v>
      </c>
      <c r="I7" t="s">
        <v>16</v>
      </c>
      <c r="J7" t="s">
        <v>43</v>
      </c>
      <c r="K7">
        <v>366.18</v>
      </c>
    </row>
    <row r="8" spans="1:11">
      <c r="A8">
        <v>106</v>
      </c>
      <c r="B8" t="s">
        <v>44</v>
      </c>
      <c r="C8" t="s">
        <v>45</v>
      </c>
      <c r="D8" s="1">
        <v>45690</v>
      </c>
      <c r="E8" t="s">
        <v>14</v>
      </c>
      <c r="F8" t="s">
        <v>15</v>
      </c>
      <c r="H8">
        <v>978.63</v>
      </c>
      <c r="I8" t="s">
        <v>46</v>
      </c>
      <c r="J8" t="s">
        <v>24</v>
      </c>
    </row>
    <row r="9" spans="1:11">
      <c r="A9">
        <v>107</v>
      </c>
      <c r="B9" t="s">
        <v>47</v>
      </c>
      <c r="C9" t="s">
        <v>48</v>
      </c>
      <c r="D9" s="1">
        <v>45717</v>
      </c>
      <c r="E9" t="s">
        <v>39</v>
      </c>
      <c r="F9" t="s">
        <v>35</v>
      </c>
      <c r="G9">
        <v>5</v>
      </c>
      <c r="H9">
        <v>587.67999999999995</v>
      </c>
      <c r="I9" t="s">
        <v>23</v>
      </c>
      <c r="J9" t="s">
        <v>49</v>
      </c>
      <c r="K9">
        <v>2938.4</v>
      </c>
    </row>
    <row r="10" spans="1:11">
      <c r="A10">
        <v>108</v>
      </c>
      <c r="B10" t="s">
        <v>50</v>
      </c>
      <c r="C10" t="s">
        <v>51</v>
      </c>
      <c r="D10" t="s">
        <v>52</v>
      </c>
      <c r="E10" t="s">
        <v>34</v>
      </c>
      <c r="F10" t="s">
        <v>35</v>
      </c>
      <c r="G10">
        <v>1</v>
      </c>
      <c r="H10">
        <v>600.29</v>
      </c>
      <c r="I10" t="s">
        <v>16</v>
      </c>
      <c r="J10" t="s">
        <v>24</v>
      </c>
      <c r="K10">
        <v>600.29</v>
      </c>
    </row>
    <row r="11" spans="1:11">
      <c r="A11">
        <v>109</v>
      </c>
      <c r="B11" t="s">
        <v>53</v>
      </c>
      <c r="C11" t="s">
        <v>54</v>
      </c>
      <c r="D11" s="1">
        <v>45721</v>
      </c>
      <c r="E11" t="s">
        <v>28</v>
      </c>
      <c r="F11" t="s">
        <v>29</v>
      </c>
      <c r="G11">
        <v>5</v>
      </c>
      <c r="H11">
        <v>168.34</v>
      </c>
      <c r="I11" t="s">
        <v>55</v>
      </c>
      <c r="J11" t="s">
        <v>17</v>
      </c>
      <c r="K11">
        <v>841.7</v>
      </c>
    </row>
    <row r="12" spans="1:11">
      <c r="A12">
        <v>110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>
        <v>5</v>
      </c>
      <c r="H12" t="s">
        <v>61</v>
      </c>
      <c r="I12" t="s">
        <v>16</v>
      </c>
      <c r="J12" t="s">
        <v>43</v>
      </c>
    </row>
    <row r="13" spans="1:11">
      <c r="A13">
        <v>111</v>
      </c>
      <c r="B13" t="s">
        <v>62</v>
      </c>
      <c r="C13" t="s">
        <v>63</v>
      </c>
      <c r="D13" t="s">
        <v>64</v>
      </c>
      <c r="E13" t="s">
        <v>65</v>
      </c>
      <c r="F13" t="s">
        <v>35</v>
      </c>
      <c r="G13">
        <v>2</v>
      </c>
      <c r="H13">
        <v>865.77</v>
      </c>
      <c r="I13" t="s">
        <v>55</v>
      </c>
      <c r="J13" t="s">
        <v>49</v>
      </c>
      <c r="K13">
        <v>1731.54</v>
      </c>
    </row>
    <row r="14" spans="1:11">
      <c r="A14">
        <v>112</v>
      </c>
      <c r="B14" t="s">
        <v>66</v>
      </c>
      <c r="C14" t="s">
        <v>67</v>
      </c>
      <c r="D14" s="1">
        <v>45691</v>
      </c>
      <c r="E14" t="s">
        <v>68</v>
      </c>
      <c r="F14" t="s">
        <v>69</v>
      </c>
      <c r="G14">
        <v>4</v>
      </c>
      <c r="H14">
        <v>752.13</v>
      </c>
      <c r="I14" t="s">
        <v>46</v>
      </c>
      <c r="J14" t="s">
        <v>30</v>
      </c>
      <c r="K14">
        <v>3008.52</v>
      </c>
    </row>
    <row r="15" spans="1:11">
      <c r="A15">
        <v>113</v>
      </c>
      <c r="B15" t="s">
        <v>70</v>
      </c>
      <c r="C15" t="s">
        <v>71</v>
      </c>
      <c r="D15" t="s">
        <v>72</v>
      </c>
      <c r="E15" t="s">
        <v>73</v>
      </c>
      <c r="F15" t="s">
        <v>35</v>
      </c>
      <c r="G15">
        <v>1</v>
      </c>
      <c r="H15">
        <v>411.81</v>
      </c>
      <c r="I15" t="s">
        <v>55</v>
      </c>
      <c r="J15" t="s">
        <v>24</v>
      </c>
      <c r="K15">
        <v>411.81</v>
      </c>
    </row>
    <row r="16" spans="1:11">
      <c r="A16">
        <v>114</v>
      </c>
      <c r="B16" t="s">
        <v>74</v>
      </c>
      <c r="C16" t="s">
        <v>75</v>
      </c>
      <c r="D16" t="s">
        <v>76</v>
      </c>
      <c r="E16" t="s">
        <v>20</v>
      </c>
      <c r="F16" t="s">
        <v>21</v>
      </c>
      <c r="G16">
        <v>2</v>
      </c>
      <c r="H16">
        <v>413.13</v>
      </c>
      <c r="I16" t="s">
        <v>16</v>
      </c>
      <c r="J16" t="s">
        <v>17</v>
      </c>
      <c r="K16">
        <v>826.26</v>
      </c>
    </row>
    <row r="17" spans="1:11">
      <c r="A17">
        <v>115</v>
      </c>
      <c r="B17" t="s">
        <v>77</v>
      </c>
      <c r="C17" t="s">
        <v>78</v>
      </c>
      <c r="D17" s="1">
        <v>45931</v>
      </c>
      <c r="E17" t="s">
        <v>73</v>
      </c>
      <c r="F17" t="s">
        <v>35</v>
      </c>
      <c r="G17">
        <v>2</v>
      </c>
      <c r="H17">
        <v>796.84</v>
      </c>
      <c r="I17" t="s">
        <v>16</v>
      </c>
      <c r="J17" t="s">
        <v>49</v>
      </c>
      <c r="K17">
        <v>1115.576</v>
      </c>
    </row>
    <row r="18" spans="1:11">
      <c r="A18">
        <v>116</v>
      </c>
      <c r="B18" t="s">
        <v>79</v>
      </c>
      <c r="C18" t="s">
        <v>80</v>
      </c>
      <c r="D18" t="s">
        <v>81</v>
      </c>
      <c r="E18" t="s">
        <v>82</v>
      </c>
      <c r="F18" t="s">
        <v>15</v>
      </c>
      <c r="G18">
        <v>4</v>
      </c>
      <c r="I18" t="s">
        <v>16</v>
      </c>
      <c r="J18" t="s">
        <v>24</v>
      </c>
    </row>
    <row r="19" spans="1:11">
      <c r="A19">
        <v>117</v>
      </c>
      <c r="B19" t="s">
        <v>83</v>
      </c>
      <c r="C19" t="s">
        <v>84</v>
      </c>
      <c r="D19" s="1">
        <v>45993</v>
      </c>
      <c r="E19" t="s">
        <v>14</v>
      </c>
      <c r="F19" t="s">
        <v>85</v>
      </c>
      <c r="G19">
        <v>-2</v>
      </c>
      <c r="H19">
        <v>10000</v>
      </c>
      <c r="I19" t="s">
        <v>16</v>
      </c>
      <c r="J19" t="s">
        <v>24</v>
      </c>
      <c r="K19">
        <v>-20000</v>
      </c>
    </row>
    <row r="20" spans="1:11">
      <c r="A20">
        <v>118</v>
      </c>
      <c r="B20" t="s">
        <v>86</v>
      </c>
      <c r="C20" t="s">
        <v>87</v>
      </c>
      <c r="D20" t="s">
        <v>88</v>
      </c>
      <c r="E20" t="s">
        <v>34</v>
      </c>
      <c r="F20" t="s">
        <v>35</v>
      </c>
      <c r="G20">
        <v>5</v>
      </c>
      <c r="H20">
        <v>247.82</v>
      </c>
      <c r="I20" t="s">
        <v>23</v>
      </c>
      <c r="J20" t="s">
        <v>24</v>
      </c>
      <c r="K20">
        <v>1239.0999999999999</v>
      </c>
    </row>
    <row r="21" spans="1:11">
      <c r="A21">
        <v>119</v>
      </c>
      <c r="B21" t="s">
        <v>89</v>
      </c>
      <c r="C21" t="s">
        <v>90</v>
      </c>
      <c r="D21" t="s">
        <v>91</v>
      </c>
      <c r="E21" t="s">
        <v>59</v>
      </c>
      <c r="F21" t="s">
        <v>29</v>
      </c>
      <c r="G21">
        <v>4</v>
      </c>
      <c r="H21">
        <v>438.19</v>
      </c>
      <c r="I21" t="s">
        <v>16</v>
      </c>
      <c r="J21" t="s">
        <v>24</v>
      </c>
      <c r="K21">
        <v>1752.76</v>
      </c>
    </row>
    <row r="22" spans="1:11">
      <c r="A22">
        <v>120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>
        <v>5</v>
      </c>
      <c r="H22" t="s">
        <v>97</v>
      </c>
      <c r="I22" t="s">
        <v>55</v>
      </c>
      <c r="J22" t="s">
        <v>43</v>
      </c>
    </row>
    <row r="23" spans="1:11">
      <c r="A23">
        <v>121</v>
      </c>
      <c r="B23" t="s">
        <v>98</v>
      </c>
      <c r="C23" t="s">
        <v>99</v>
      </c>
      <c r="D23" s="1">
        <v>45971</v>
      </c>
      <c r="E23" t="s">
        <v>59</v>
      </c>
      <c r="F23" t="s">
        <v>29</v>
      </c>
      <c r="G23">
        <v>4</v>
      </c>
      <c r="H23">
        <v>523.01</v>
      </c>
      <c r="I23" t="s">
        <v>55</v>
      </c>
      <c r="J23" t="s">
        <v>30</v>
      </c>
      <c r="K23">
        <v>2092.04</v>
      </c>
    </row>
    <row r="24" spans="1:11">
      <c r="A24">
        <v>122</v>
      </c>
      <c r="B24" t="s">
        <v>100</v>
      </c>
      <c r="C24" t="s">
        <v>101</v>
      </c>
      <c r="D24" t="s">
        <v>102</v>
      </c>
      <c r="E24" t="s">
        <v>82</v>
      </c>
      <c r="F24" t="s">
        <v>15</v>
      </c>
      <c r="G24">
        <v>2</v>
      </c>
      <c r="H24">
        <v>556.92999999999995</v>
      </c>
      <c r="I24" t="s">
        <v>23</v>
      </c>
      <c r="J24" t="s">
        <v>17</v>
      </c>
      <c r="K24">
        <v>1113.8599999999999</v>
      </c>
    </row>
    <row r="25" spans="1:11">
      <c r="A25">
        <v>123</v>
      </c>
      <c r="B25" t="s">
        <v>103</v>
      </c>
      <c r="C25" t="s">
        <v>104</v>
      </c>
      <c r="D25" s="1">
        <v>45818</v>
      </c>
      <c r="E25" t="s">
        <v>105</v>
      </c>
      <c r="F25" t="s">
        <v>85</v>
      </c>
      <c r="G25">
        <v>3</v>
      </c>
      <c r="H25">
        <v>615.91</v>
      </c>
      <c r="I25" t="s">
        <v>16</v>
      </c>
      <c r="J25" t="s">
        <v>43</v>
      </c>
      <c r="K25">
        <v>1847.73</v>
      </c>
    </row>
    <row r="26" spans="1:11">
      <c r="A26">
        <v>124</v>
      </c>
      <c r="B26" t="s">
        <v>106</v>
      </c>
      <c r="C26" t="s">
        <v>107</v>
      </c>
      <c r="D26" t="s">
        <v>88</v>
      </c>
      <c r="E26" t="s">
        <v>65</v>
      </c>
      <c r="F26" t="s">
        <v>35</v>
      </c>
      <c r="G26">
        <v>5</v>
      </c>
      <c r="I26" t="s">
        <v>23</v>
      </c>
      <c r="J26" t="s">
        <v>43</v>
      </c>
    </row>
    <row r="27" spans="1:11">
      <c r="A27">
        <v>125</v>
      </c>
      <c r="B27" t="s">
        <v>108</v>
      </c>
      <c r="C27" t="s">
        <v>109</v>
      </c>
      <c r="D27" s="1">
        <v>45902</v>
      </c>
      <c r="E27" t="s">
        <v>65</v>
      </c>
      <c r="F27" t="s">
        <v>35</v>
      </c>
      <c r="G27">
        <v>4</v>
      </c>
      <c r="H27">
        <v>765.69</v>
      </c>
      <c r="I27" t="s">
        <v>23</v>
      </c>
      <c r="J27" t="s">
        <v>17</v>
      </c>
      <c r="K27">
        <v>3062.76</v>
      </c>
    </row>
    <row r="28" spans="1:11">
      <c r="A28">
        <v>126</v>
      </c>
      <c r="B28" t="s">
        <v>110</v>
      </c>
      <c r="C28" t="s">
        <v>111</v>
      </c>
      <c r="D28" t="s">
        <v>112</v>
      </c>
      <c r="E28" t="s">
        <v>68</v>
      </c>
      <c r="F28" t="s">
        <v>69</v>
      </c>
      <c r="G28">
        <v>4</v>
      </c>
      <c r="H28">
        <v>836.8</v>
      </c>
      <c r="I28" t="s">
        <v>46</v>
      </c>
      <c r="J28" t="s">
        <v>43</v>
      </c>
      <c r="K28">
        <v>3347.2</v>
      </c>
    </row>
    <row r="29" spans="1:11">
      <c r="A29">
        <v>127</v>
      </c>
      <c r="B29" t="s">
        <v>113</v>
      </c>
      <c r="C29" t="s">
        <v>114</v>
      </c>
      <c r="D29" s="1">
        <v>45996</v>
      </c>
      <c r="E29" t="s">
        <v>14</v>
      </c>
      <c r="F29" t="s">
        <v>15</v>
      </c>
      <c r="G29">
        <v>5</v>
      </c>
      <c r="H29">
        <v>336.02</v>
      </c>
      <c r="I29" t="s">
        <v>46</v>
      </c>
      <c r="J29" t="s">
        <v>49</v>
      </c>
      <c r="K29">
        <v>1680.1</v>
      </c>
    </row>
    <row r="30" spans="1:11">
      <c r="A30">
        <v>128</v>
      </c>
      <c r="B30" t="s">
        <v>115</v>
      </c>
      <c r="C30" t="s">
        <v>116</v>
      </c>
      <c r="D30" s="1">
        <v>45576</v>
      </c>
      <c r="E30" t="s">
        <v>117</v>
      </c>
      <c r="F30" t="s">
        <v>118</v>
      </c>
      <c r="G30">
        <v>3</v>
      </c>
      <c r="H30">
        <v>898.69</v>
      </c>
      <c r="I30" t="s">
        <v>46</v>
      </c>
      <c r="J30" t="s">
        <v>30</v>
      </c>
      <c r="K30">
        <v>2696.07</v>
      </c>
    </row>
    <row r="31" spans="1:11">
      <c r="A31">
        <v>129</v>
      </c>
      <c r="B31" t="s">
        <v>119</v>
      </c>
      <c r="C31" t="s">
        <v>120</v>
      </c>
      <c r="D31" t="s">
        <v>121</v>
      </c>
      <c r="E31" t="s">
        <v>34</v>
      </c>
      <c r="F31" t="s">
        <v>35</v>
      </c>
      <c r="G31">
        <v>4</v>
      </c>
      <c r="H31">
        <v>736.71</v>
      </c>
      <c r="I31" t="s">
        <v>46</v>
      </c>
      <c r="J31" t="s">
        <v>49</v>
      </c>
      <c r="K31">
        <v>2946.84</v>
      </c>
    </row>
    <row r="32" spans="1:11">
      <c r="A32">
        <v>130</v>
      </c>
      <c r="B32" t="s">
        <v>122</v>
      </c>
      <c r="C32" t="s">
        <v>123</v>
      </c>
      <c r="D32" t="s">
        <v>124</v>
      </c>
      <c r="E32" t="s">
        <v>28</v>
      </c>
      <c r="F32" t="s">
        <v>29</v>
      </c>
      <c r="G32">
        <v>2</v>
      </c>
      <c r="I32" t="s">
        <v>46</v>
      </c>
      <c r="J32" t="s">
        <v>24</v>
      </c>
    </row>
    <row r="33" spans="1:11">
      <c r="A33">
        <v>131</v>
      </c>
      <c r="B33" t="s">
        <v>125</v>
      </c>
      <c r="C33" t="s">
        <v>126</v>
      </c>
      <c r="D33" s="1">
        <v>45967</v>
      </c>
      <c r="E33" t="s">
        <v>117</v>
      </c>
      <c r="F33" t="s">
        <v>15</v>
      </c>
      <c r="G33">
        <v>5</v>
      </c>
      <c r="H33">
        <v>616.63</v>
      </c>
      <c r="I33" t="s">
        <v>23</v>
      </c>
      <c r="J33" t="s">
        <v>17</v>
      </c>
      <c r="K33">
        <v>3083.15</v>
      </c>
    </row>
    <row r="34" spans="1:11">
      <c r="A34">
        <v>132</v>
      </c>
      <c r="B34" t="s">
        <v>127</v>
      </c>
      <c r="C34" t="s">
        <v>128</v>
      </c>
      <c r="D34" s="1">
        <v>45692</v>
      </c>
      <c r="E34" t="s">
        <v>95</v>
      </c>
      <c r="F34" t="s">
        <v>96</v>
      </c>
      <c r="G34">
        <v>1</v>
      </c>
      <c r="H34">
        <v>266.7</v>
      </c>
      <c r="I34" t="s">
        <v>23</v>
      </c>
      <c r="J34" t="s">
        <v>30</v>
      </c>
      <c r="K34">
        <v>266.7</v>
      </c>
    </row>
    <row r="35" spans="1:11">
      <c r="A35">
        <v>133</v>
      </c>
      <c r="B35" t="s">
        <v>129</v>
      </c>
      <c r="C35" t="s">
        <v>130</v>
      </c>
      <c r="D35" s="1">
        <v>45424</v>
      </c>
      <c r="E35" t="s">
        <v>39</v>
      </c>
      <c r="F35" t="s">
        <v>131</v>
      </c>
      <c r="G35">
        <v>5</v>
      </c>
      <c r="H35">
        <v>343.24</v>
      </c>
      <c r="I35" t="s">
        <v>55</v>
      </c>
      <c r="J35" t="s">
        <v>17</v>
      </c>
      <c r="K35">
        <v>1716.2</v>
      </c>
    </row>
    <row r="36" spans="1:11">
      <c r="A36">
        <v>134</v>
      </c>
      <c r="B36" t="s">
        <v>132</v>
      </c>
      <c r="C36" t="s">
        <v>133</v>
      </c>
      <c r="D36" s="1">
        <v>45757</v>
      </c>
      <c r="E36" t="s">
        <v>134</v>
      </c>
      <c r="F36" t="s">
        <v>69</v>
      </c>
      <c r="G36">
        <v>-5</v>
      </c>
      <c r="H36">
        <v>591.53</v>
      </c>
      <c r="I36" t="s">
        <v>23</v>
      </c>
      <c r="J36" t="s">
        <v>17</v>
      </c>
      <c r="K36">
        <v>-2957.65</v>
      </c>
    </row>
    <row r="37" spans="1:11">
      <c r="A37">
        <v>135</v>
      </c>
      <c r="B37" t="s">
        <v>135</v>
      </c>
      <c r="C37" t="s">
        <v>136</v>
      </c>
      <c r="D37" s="1">
        <v>45902</v>
      </c>
      <c r="E37" t="s">
        <v>137</v>
      </c>
      <c r="F37" t="s">
        <v>118</v>
      </c>
      <c r="G37">
        <v>4</v>
      </c>
      <c r="H37">
        <v>446.19</v>
      </c>
      <c r="I37" t="s">
        <v>16</v>
      </c>
      <c r="J37" t="s">
        <v>43</v>
      </c>
      <c r="K37">
        <v>1784.76</v>
      </c>
    </row>
    <row r="38" spans="1:11">
      <c r="A38">
        <v>136</v>
      </c>
      <c r="B38" t="s">
        <v>138</v>
      </c>
      <c r="C38" t="s">
        <v>139</v>
      </c>
      <c r="D38" s="1">
        <v>45997</v>
      </c>
      <c r="E38" t="s">
        <v>140</v>
      </c>
      <c r="G38">
        <v>1</v>
      </c>
      <c r="H38">
        <v>696.71</v>
      </c>
      <c r="I38" t="s">
        <v>55</v>
      </c>
      <c r="J38" t="s">
        <v>30</v>
      </c>
      <c r="K38">
        <v>696.71</v>
      </c>
    </row>
    <row r="39" spans="1:11">
      <c r="A39">
        <v>137</v>
      </c>
      <c r="B39" t="s">
        <v>141</v>
      </c>
      <c r="C39" t="s">
        <v>142</v>
      </c>
      <c r="D39" t="s">
        <v>143</v>
      </c>
      <c r="E39" t="s">
        <v>105</v>
      </c>
      <c r="F39" t="s">
        <v>15</v>
      </c>
      <c r="G39">
        <v>3</v>
      </c>
      <c r="H39">
        <v>-100</v>
      </c>
      <c r="I39" t="s">
        <v>16</v>
      </c>
      <c r="J39" t="s">
        <v>30</v>
      </c>
      <c r="K39">
        <v>-300</v>
      </c>
    </row>
    <row r="40" spans="1:11">
      <c r="A40">
        <v>138</v>
      </c>
      <c r="B40" t="s">
        <v>144</v>
      </c>
      <c r="C40" t="s">
        <v>145</v>
      </c>
      <c r="D40" s="1">
        <v>45908</v>
      </c>
      <c r="E40" t="s">
        <v>117</v>
      </c>
      <c r="F40" t="s">
        <v>15</v>
      </c>
      <c r="G40">
        <v>1</v>
      </c>
      <c r="H40">
        <v>531.05999999999995</v>
      </c>
      <c r="I40" t="s">
        <v>23</v>
      </c>
      <c r="J40" t="s">
        <v>24</v>
      </c>
      <c r="K40">
        <v>531.05999999999995</v>
      </c>
    </row>
    <row r="41" spans="1:11">
      <c r="A41">
        <v>139</v>
      </c>
      <c r="B41" t="s">
        <v>146</v>
      </c>
      <c r="C41" t="s">
        <v>147</v>
      </c>
      <c r="D41" s="1">
        <v>45902</v>
      </c>
      <c r="E41" t="s">
        <v>20</v>
      </c>
      <c r="F41" t="s">
        <v>21</v>
      </c>
      <c r="G41">
        <v>2</v>
      </c>
      <c r="H41">
        <v>681.38</v>
      </c>
      <c r="I41" t="s">
        <v>55</v>
      </c>
      <c r="J41" t="s">
        <v>43</v>
      </c>
      <c r="K41">
        <v>1362.76</v>
      </c>
    </row>
    <row r="42" spans="1:11">
      <c r="A42">
        <v>140</v>
      </c>
      <c r="B42" t="s">
        <v>148</v>
      </c>
      <c r="C42" t="s">
        <v>149</v>
      </c>
      <c r="D42" t="s">
        <v>150</v>
      </c>
      <c r="E42" t="s">
        <v>73</v>
      </c>
      <c r="F42" t="s">
        <v>35</v>
      </c>
      <c r="G42">
        <v>4</v>
      </c>
      <c r="H42">
        <v>588.98</v>
      </c>
      <c r="I42" t="s">
        <v>55</v>
      </c>
      <c r="J42" t="s">
        <v>49</v>
      </c>
      <c r="K42">
        <v>2355.92</v>
      </c>
    </row>
    <row r="43" spans="1:11">
      <c r="A43">
        <v>141</v>
      </c>
      <c r="B43" t="s">
        <v>151</v>
      </c>
      <c r="C43" t="s">
        <v>152</v>
      </c>
      <c r="D43" t="s">
        <v>153</v>
      </c>
      <c r="E43" t="s">
        <v>73</v>
      </c>
      <c r="F43" t="s">
        <v>35</v>
      </c>
      <c r="G43">
        <v>3</v>
      </c>
      <c r="H43">
        <v>546.04</v>
      </c>
      <c r="I43" t="s">
        <v>16</v>
      </c>
      <c r="J43" t="s">
        <v>49</v>
      </c>
      <c r="K43">
        <v>1638.12</v>
      </c>
    </row>
    <row r="44" spans="1:11">
      <c r="A44">
        <v>142</v>
      </c>
      <c r="B44" t="s">
        <v>154</v>
      </c>
      <c r="C44" t="s">
        <v>155</v>
      </c>
      <c r="D44" t="s">
        <v>81</v>
      </c>
      <c r="E44" t="s">
        <v>68</v>
      </c>
      <c r="F44" t="s">
        <v>69</v>
      </c>
      <c r="G44">
        <v>5</v>
      </c>
      <c r="H44">
        <v>645.26</v>
      </c>
      <c r="I44" t="s">
        <v>55</v>
      </c>
      <c r="J44" t="s">
        <v>17</v>
      </c>
      <c r="K44">
        <v>2258.41</v>
      </c>
    </row>
    <row r="45" spans="1:11">
      <c r="A45">
        <v>143</v>
      </c>
      <c r="B45" t="s">
        <v>156</v>
      </c>
      <c r="C45" t="s">
        <v>157</v>
      </c>
      <c r="D45" s="1">
        <v>45968</v>
      </c>
      <c r="E45" t="s">
        <v>134</v>
      </c>
      <c r="F45" t="s">
        <v>69</v>
      </c>
      <c r="G45">
        <v>5</v>
      </c>
      <c r="H45">
        <v>826.77</v>
      </c>
      <c r="I45" t="s">
        <v>46</v>
      </c>
      <c r="J45" t="s">
        <v>43</v>
      </c>
      <c r="K45">
        <v>4133.8500000000004</v>
      </c>
    </row>
    <row r="46" spans="1:11">
      <c r="A46">
        <v>144</v>
      </c>
      <c r="B46" t="s">
        <v>158</v>
      </c>
      <c r="C46" t="s">
        <v>159</v>
      </c>
      <c r="D46" t="s">
        <v>160</v>
      </c>
      <c r="E46" t="s">
        <v>161</v>
      </c>
      <c r="F46" t="s">
        <v>29</v>
      </c>
      <c r="G46">
        <v>5</v>
      </c>
      <c r="H46">
        <v>849.07</v>
      </c>
      <c r="I46" t="s">
        <v>46</v>
      </c>
      <c r="J46" t="s">
        <v>24</v>
      </c>
      <c r="K46">
        <v>4245.3500000000004</v>
      </c>
    </row>
    <row r="47" spans="1:11">
      <c r="A47">
        <v>145</v>
      </c>
      <c r="B47" t="s">
        <v>162</v>
      </c>
      <c r="C47" t="s">
        <v>163</v>
      </c>
      <c r="D47" s="1">
        <v>44931</v>
      </c>
      <c r="E47" t="s">
        <v>164</v>
      </c>
      <c r="F47" t="s">
        <v>21</v>
      </c>
      <c r="G47">
        <v>2</v>
      </c>
      <c r="H47">
        <v>860.99</v>
      </c>
      <c r="I47" t="s">
        <v>46</v>
      </c>
      <c r="J47" t="s">
        <v>49</v>
      </c>
      <c r="K47">
        <v>1721.98</v>
      </c>
    </row>
    <row r="48" spans="1:11">
      <c r="A48">
        <v>146</v>
      </c>
      <c r="B48" t="s">
        <v>165</v>
      </c>
      <c r="C48" t="s">
        <v>166</v>
      </c>
      <c r="D48" s="1">
        <v>45907</v>
      </c>
      <c r="E48" t="s">
        <v>59</v>
      </c>
      <c r="F48" t="s">
        <v>85</v>
      </c>
      <c r="G48">
        <v>2</v>
      </c>
      <c r="H48">
        <v>705.42</v>
      </c>
      <c r="I48" t="s">
        <v>46</v>
      </c>
      <c r="J48" t="s">
        <v>24</v>
      </c>
      <c r="K48">
        <v>1410.84</v>
      </c>
    </row>
    <row r="49" spans="1:11">
      <c r="A49">
        <v>147</v>
      </c>
      <c r="B49" t="s">
        <v>167</v>
      </c>
      <c r="C49" t="s">
        <v>168</v>
      </c>
      <c r="D49" s="1">
        <v>45662</v>
      </c>
      <c r="E49" t="s">
        <v>169</v>
      </c>
      <c r="F49" t="s">
        <v>69</v>
      </c>
      <c r="G49">
        <v>4</v>
      </c>
      <c r="H49">
        <v>596.15</v>
      </c>
      <c r="I49" t="s">
        <v>16</v>
      </c>
      <c r="J49" t="s">
        <v>17</v>
      </c>
      <c r="K49">
        <v>2384.6</v>
      </c>
    </row>
    <row r="50" spans="1:11">
      <c r="A50">
        <v>148</v>
      </c>
      <c r="B50" t="s">
        <v>170</v>
      </c>
      <c r="C50" t="s">
        <v>171</v>
      </c>
      <c r="D50" t="s">
        <v>172</v>
      </c>
      <c r="E50" t="s">
        <v>28</v>
      </c>
      <c r="F50" t="s">
        <v>29</v>
      </c>
      <c r="G50">
        <v>1</v>
      </c>
      <c r="H50">
        <v>660.98</v>
      </c>
      <c r="I50" t="s">
        <v>16</v>
      </c>
      <c r="J50" t="s">
        <v>49</v>
      </c>
      <c r="K50">
        <v>660.98</v>
      </c>
    </row>
    <row r="51" spans="1:11">
      <c r="A51">
        <v>149</v>
      </c>
      <c r="B51" t="s">
        <v>173</v>
      </c>
      <c r="C51" t="s">
        <v>174</v>
      </c>
      <c r="D51" t="s">
        <v>175</v>
      </c>
      <c r="E51" t="s">
        <v>65</v>
      </c>
      <c r="F51" t="s">
        <v>35</v>
      </c>
      <c r="G51">
        <v>5</v>
      </c>
      <c r="H51">
        <v>896.38</v>
      </c>
      <c r="I51" t="s">
        <v>46</v>
      </c>
      <c r="J51" t="s">
        <v>43</v>
      </c>
      <c r="K51">
        <v>4481.8999999999996</v>
      </c>
    </row>
    <row r="52" spans="1:11">
      <c r="A52">
        <v>150</v>
      </c>
      <c r="B52" t="s">
        <v>176</v>
      </c>
      <c r="C52" t="s">
        <v>177</v>
      </c>
      <c r="D52" t="s">
        <v>178</v>
      </c>
      <c r="E52" t="s">
        <v>95</v>
      </c>
      <c r="F52" t="s">
        <v>29</v>
      </c>
      <c r="G52">
        <v>1</v>
      </c>
      <c r="H52">
        <v>206.19</v>
      </c>
      <c r="I52" t="s">
        <v>55</v>
      </c>
      <c r="J52" t="s">
        <v>49</v>
      </c>
      <c r="K52">
        <v>206.19</v>
      </c>
    </row>
    <row r="53" spans="1:11">
      <c r="A53">
        <v>151</v>
      </c>
      <c r="B53" t="s">
        <v>179</v>
      </c>
      <c r="C53" t="s">
        <v>180</v>
      </c>
      <c r="D53" s="1">
        <v>45664</v>
      </c>
      <c r="E53" t="s">
        <v>65</v>
      </c>
      <c r="F53" t="s">
        <v>35</v>
      </c>
      <c r="G53">
        <v>2</v>
      </c>
      <c r="H53">
        <v>457.16</v>
      </c>
      <c r="I53" t="s">
        <v>23</v>
      </c>
      <c r="J53" t="s">
        <v>24</v>
      </c>
      <c r="K53">
        <v>640.024</v>
      </c>
    </row>
    <row r="54" spans="1:11">
      <c r="A54">
        <v>152</v>
      </c>
      <c r="B54" t="s">
        <v>181</v>
      </c>
      <c r="C54" t="s">
        <v>182</v>
      </c>
      <c r="D54" t="s">
        <v>183</v>
      </c>
      <c r="E54" t="s">
        <v>117</v>
      </c>
      <c r="F54" t="s">
        <v>15</v>
      </c>
      <c r="G54">
        <v>3</v>
      </c>
      <c r="H54">
        <v>233.11</v>
      </c>
      <c r="I54" t="s">
        <v>23</v>
      </c>
      <c r="J54" t="s">
        <v>49</v>
      </c>
      <c r="K54">
        <v>699.33</v>
      </c>
    </row>
    <row r="55" spans="1:11">
      <c r="A55">
        <v>153</v>
      </c>
      <c r="B55" t="s">
        <v>184</v>
      </c>
      <c r="C55" t="s">
        <v>185</v>
      </c>
      <c r="D55" t="s">
        <v>186</v>
      </c>
      <c r="E55" t="s">
        <v>95</v>
      </c>
      <c r="F55" t="s">
        <v>29</v>
      </c>
      <c r="G55">
        <v>4</v>
      </c>
      <c r="H55">
        <v>278.89999999999998</v>
      </c>
      <c r="I55" t="s">
        <v>16</v>
      </c>
      <c r="J55" t="s">
        <v>24</v>
      </c>
      <c r="K55">
        <v>1115.5999999999999</v>
      </c>
    </row>
    <row r="56" spans="1:11">
      <c r="A56">
        <v>154</v>
      </c>
      <c r="B56" t="s">
        <v>187</v>
      </c>
      <c r="C56" t="s">
        <v>188</v>
      </c>
      <c r="D56" t="s">
        <v>189</v>
      </c>
      <c r="E56" t="s">
        <v>14</v>
      </c>
      <c r="F56" t="s">
        <v>15</v>
      </c>
      <c r="G56">
        <v>5</v>
      </c>
      <c r="H56">
        <v>789.64</v>
      </c>
      <c r="I56" t="s">
        <v>16</v>
      </c>
      <c r="J56" t="s">
        <v>43</v>
      </c>
      <c r="K56">
        <v>3948.2</v>
      </c>
    </row>
    <row r="57" spans="1:11">
      <c r="A57">
        <v>155</v>
      </c>
      <c r="B57" t="s">
        <v>190</v>
      </c>
      <c r="C57" t="s">
        <v>191</v>
      </c>
      <c r="D57" s="1">
        <v>45662</v>
      </c>
      <c r="E57" t="s">
        <v>192</v>
      </c>
      <c r="F57" t="s">
        <v>69</v>
      </c>
      <c r="G57">
        <v>1</v>
      </c>
      <c r="H57">
        <v>40.950000000000003</v>
      </c>
      <c r="I57" t="s">
        <v>23</v>
      </c>
      <c r="J57" t="s">
        <v>49</v>
      </c>
      <c r="K57">
        <v>40.950000000000003</v>
      </c>
    </row>
    <row r="58" spans="1:11">
      <c r="A58">
        <v>156</v>
      </c>
      <c r="B58" t="s">
        <v>193</v>
      </c>
      <c r="C58" t="s">
        <v>194</v>
      </c>
      <c r="D58" t="s">
        <v>195</v>
      </c>
      <c r="E58" t="s">
        <v>196</v>
      </c>
      <c r="F58" t="s">
        <v>69</v>
      </c>
      <c r="G58">
        <v>2</v>
      </c>
      <c r="I58" t="s">
        <v>46</v>
      </c>
      <c r="J58" t="s">
        <v>17</v>
      </c>
    </row>
    <row r="59" spans="1:11">
      <c r="A59">
        <v>157</v>
      </c>
      <c r="B59" t="s">
        <v>197</v>
      </c>
      <c r="C59" t="s">
        <v>198</v>
      </c>
      <c r="D59" s="1">
        <v>45819</v>
      </c>
      <c r="E59" t="s">
        <v>169</v>
      </c>
      <c r="F59" t="s">
        <v>69</v>
      </c>
      <c r="G59">
        <v>4</v>
      </c>
      <c r="H59">
        <v>275.10000000000002</v>
      </c>
      <c r="I59" t="s">
        <v>46</v>
      </c>
      <c r="J59" t="s">
        <v>24</v>
      </c>
      <c r="K59">
        <v>1100.4000000000001</v>
      </c>
    </row>
    <row r="60" spans="1:11">
      <c r="A60">
        <v>158</v>
      </c>
      <c r="B60" t="s">
        <v>199</v>
      </c>
      <c r="C60" t="s">
        <v>200</v>
      </c>
      <c r="D60" s="1">
        <v>45781</v>
      </c>
      <c r="E60" t="s">
        <v>137</v>
      </c>
      <c r="F60" t="s">
        <v>21</v>
      </c>
      <c r="G60">
        <v>1</v>
      </c>
      <c r="H60">
        <v>933.58</v>
      </c>
      <c r="I60" t="s">
        <v>16</v>
      </c>
      <c r="J60" t="s">
        <v>17</v>
      </c>
      <c r="K60">
        <v>933.58</v>
      </c>
    </row>
    <row r="61" spans="1:11">
      <c r="A61">
        <v>159</v>
      </c>
      <c r="B61" t="s">
        <v>201</v>
      </c>
      <c r="C61" t="s">
        <v>202</v>
      </c>
      <c r="D61" t="s">
        <v>203</v>
      </c>
      <c r="E61" t="s">
        <v>82</v>
      </c>
      <c r="F61" t="s">
        <v>15</v>
      </c>
      <c r="G61">
        <v>3</v>
      </c>
      <c r="H61">
        <v>163.16</v>
      </c>
      <c r="I61" t="s">
        <v>23</v>
      </c>
      <c r="J61" t="s">
        <v>17</v>
      </c>
      <c r="K61">
        <v>489.48</v>
      </c>
    </row>
    <row r="62" spans="1:11">
      <c r="A62">
        <v>160</v>
      </c>
      <c r="B62" t="s">
        <v>204</v>
      </c>
      <c r="C62" t="s">
        <v>205</v>
      </c>
      <c r="D62" s="1">
        <v>45717</v>
      </c>
      <c r="E62" t="s">
        <v>34</v>
      </c>
      <c r="F62" t="s">
        <v>35</v>
      </c>
      <c r="G62">
        <v>5</v>
      </c>
      <c r="H62">
        <v>242.52</v>
      </c>
      <c r="I62" t="s">
        <v>16</v>
      </c>
      <c r="J62" t="s">
        <v>49</v>
      </c>
      <c r="K62">
        <v>1212.5999999999999</v>
      </c>
    </row>
    <row r="63" spans="1:11">
      <c r="A63">
        <v>161</v>
      </c>
      <c r="B63" t="s">
        <v>206</v>
      </c>
      <c r="C63" t="s">
        <v>207</v>
      </c>
      <c r="D63" t="s">
        <v>208</v>
      </c>
      <c r="E63" t="s">
        <v>34</v>
      </c>
      <c r="F63" t="s">
        <v>35</v>
      </c>
      <c r="G63">
        <v>4</v>
      </c>
      <c r="H63">
        <v>209.32</v>
      </c>
      <c r="I63" t="s">
        <v>46</v>
      </c>
      <c r="J63" t="s">
        <v>17</v>
      </c>
      <c r="K63">
        <v>837.28</v>
      </c>
    </row>
    <row r="64" spans="1:11">
      <c r="A64">
        <v>162</v>
      </c>
      <c r="B64" t="s">
        <v>209</v>
      </c>
      <c r="C64" t="s">
        <v>210</v>
      </c>
      <c r="D64" t="s">
        <v>211</v>
      </c>
      <c r="E64" t="s">
        <v>14</v>
      </c>
      <c r="F64" t="s">
        <v>15</v>
      </c>
      <c r="G64">
        <v>2</v>
      </c>
      <c r="H64">
        <v>155.76</v>
      </c>
      <c r="I64" t="s">
        <v>55</v>
      </c>
      <c r="J64" t="s">
        <v>49</v>
      </c>
      <c r="K64">
        <v>311.52</v>
      </c>
    </row>
    <row r="65" spans="1:11">
      <c r="A65">
        <v>163</v>
      </c>
      <c r="B65" t="s">
        <v>212</v>
      </c>
      <c r="C65" t="s">
        <v>213</v>
      </c>
      <c r="D65" s="1">
        <v>45047</v>
      </c>
      <c r="E65" t="s">
        <v>137</v>
      </c>
      <c r="F65" t="s">
        <v>21</v>
      </c>
      <c r="G65">
        <v>3</v>
      </c>
      <c r="H65">
        <v>235.26</v>
      </c>
      <c r="I65" t="s">
        <v>16</v>
      </c>
      <c r="J65" t="s">
        <v>17</v>
      </c>
      <c r="K65">
        <v>705.78</v>
      </c>
    </row>
    <row r="66" spans="1:11">
      <c r="A66">
        <v>164</v>
      </c>
      <c r="B66" t="s">
        <v>214</v>
      </c>
      <c r="C66" t="s">
        <v>215</v>
      </c>
      <c r="D66" s="1">
        <v>45902</v>
      </c>
      <c r="E66" t="s">
        <v>28</v>
      </c>
      <c r="F66" t="s">
        <v>29</v>
      </c>
      <c r="H66">
        <v>587.64</v>
      </c>
      <c r="I66" t="s">
        <v>55</v>
      </c>
      <c r="J66" t="s">
        <v>49</v>
      </c>
    </row>
    <row r="67" spans="1:11">
      <c r="A67">
        <v>165</v>
      </c>
      <c r="B67" t="s">
        <v>216</v>
      </c>
      <c r="C67" t="s">
        <v>217</v>
      </c>
      <c r="D67" s="1">
        <v>45515</v>
      </c>
      <c r="E67" t="s">
        <v>68</v>
      </c>
      <c r="F67" t="s">
        <v>69</v>
      </c>
      <c r="G67">
        <v>2</v>
      </c>
      <c r="H67">
        <v>443.13</v>
      </c>
      <c r="I67" t="s">
        <v>55</v>
      </c>
      <c r="J67" t="s">
        <v>30</v>
      </c>
      <c r="K67">
        <v>886.26</v>
      </c>
    </row>
    <row r="68" spans="1:11">
      <c r="A68">
        <v>166</v>
      </c>
      <c r="B68" t="s">
        <v>218</v>
      </c>
      <c r="C68" t="s">
        <v>219</v>
      </c>
      <c r="D68" s="1">
        <v>45723</v>
      </c>
      <c r="E68" t="s">
        <v>134</v>
      </c>
      <c r="F68" t="s">
        <v>118</v>
      </c>
      <c r="G68">
        <v>2</v>
      </c>
      <c r="H68">
        <v>569.38</v>
      </c>
      <c r="I68" t="s">
        <v>16</v>
      </c>
      <c r="J68" t="s">
        <v>17</v>
      </c>
      <c r="K68">
        <v>1138.76</v>
      </c>
    </row>
    <row r="69" spans="1:11">
      <c r="A69">
        <v>167</v>
      </c>
      <c r="B69" t="s">
        <v>220</v>
      </c>
      <c r="C69" t="s">
        <v>221</v>
      </c>
      <c r="D69" s="1">
        <v>45846</v>
      </c>
      <c r="E69" t="s">
        <v>59</v>
      </c>
      <c r="F69" t="s">
        <v>29</v>
      </c>
      <c r="H69">
        <v>593.92999999999995</v>
      </c>
      <c r="I69" t="s">
        <v>16</v>
      </c>
      <c r="J69" t="s">
        <v>24</v>
      </c>
    </row>
    <row r="70" spans="1:11">
      <c r="A70">
        <v>168</v>
      </c>
      <c r="B70" t="s">
        <v>222</v>
      </c>
      <c r="C70" t="s">
        <v>223</v>
      </c>
      <c r="D70" s="1">
        <v>45758</v>
      </c>
      <c r="E70" t="s">
        <v>39</v>
      </c>
      <c r="F70" t="s">
        <v>35</v>
      </c>
      <c r="G70">
        <v>2</v>
      </c>
      <c r="H70">
        <v>141.49</v>
      </c>
      <c r="I70" t="s">
        <v>23</v>
      </c>
      <c r="J70" t="s">
        <v>43</v>
      </c>
      <c r="K70">
        <v>282.98</v>
      </c>
    </row>
    <row r="71" spans="1:11">
      <c r="A71">
        <v>169</v>
      </c>
      <c r="B71" t="s">
        <v>224</v>
      </c>
      <c r="C71" t="s">
        <v>225</v>
      </c>
      <c r="D71" s="1">
        <v>45999</v>
      </c>
      <c r="E71" t="s">
        <v>59</v>
      </c>
      <c r="F71" t="s">
        <v>29</v>
      </c>
      <c r="G71">
        <v>1</v>
      </c>
      <c r="H71">
        <v>582.13</v>
      </c>
      <c r="I71" t="s">
        <v>55</v>
      </c>
      <c r="J71" t="s">
        <v>49</v>
      </c>
      <c r="K71">
        <v>582.13</v>
      </c>
    </row>
    <row r="72" spans="1:11">
      <c r="A72">
        <v>170</v>
      </c>
      <c r="B72" t="s">
        <v>226</v>
      </c>
      <c r="C72" t="s">
        <v>227</v>
      </c>
      <c r="D72" s="1">
        <v>45726</v>
      </c>
      <c r="E72" t="s">
        <v>196</v>
      </c>
      <c r="F72" t="s">
        <v>69</v>
      </c>
      <c r="G72">
        <v>5</v>
      </c>
      <c r="H72">
        <v>741.63</v>
      </c>
      <c r="I72" t="s">
        <v>46</v>
      </c>
      <c r="J72" t="s">
        <v>24</v>
      </c>
      <c r="K72">
        <v>3708.15</v>
      </c>
    </row>
    <row r="73" spans="1:11">
      <c r="A73">
        <v>171</v>
      </c>
      <c r="B73" t="s">
        <v>228</v>
      </c>
      <c r="C73" t="s">
        <v>229</v>
      </c>
      <c r="D73" s="1">
        <v>45455</v>
      </c>
      <c r="E73" t="s">
        <v>68</v>
      </c>
      <c r="F73" t="s">
        <v>69</v>
      </c>
      <c r="G73">
        <v>3</v>
      </c>
      <c r="H73">
        <v>688.68</v>
      </c>
      <c r="I73" t="s">
        <v>23</v>
      </c>
      <c r="J73" t="s">
        <v>24</v>
      </c>
      <c r="K73">
        <v>2066.04</v>
      </c>
    </row>
    <row r="74" spans="1:11">
      <c r="A74">
        <v>172</v>
      </c>
      <c r="B74" t="s">
        <v>230</v>
      </c>
      <c r="C74" t="s">
        <v>231</v>
      </c>
      <c r="D74" t="s">
        <v>232</v>
      </c>
      <c r="E74" t="s">
        <v>65</v>
      </c>
      <c r="F74" t="s">
        <v>35</v>
      </c>
      <c r="G74">
        <v>2</v>
      </c>
      <c r="H74">
        <v>942.76</v>
      </c>
      <c r="I74" t="s">
        <v>46</v>
      </c>
      <c r="J74" t="s">
        <v>49</v>
      </c>
      <c r="K74">
        <v>1885.52</v>
      </c>
    </row>
    <row r="75" spans="1:11">
      <c r="A75">
        <v>173</v>
      </c>
      <c r="B75" t="s">
        <v>233</v>
      </c>
      <c r="C75" t="s">
        <v>234</v>
      </c>
      <c r="D75" s="1">
        <v>45971</v>
      </c>
      <c r="E75" t="s">
        <v>117</v>
      </c>
      <c r="F75" t="s">
        <v>15</v>
      </c>
      <c r="G75">
        <v>5</v>
      </c>
      <c r="H75">
        <v>351.89</v>
      </c>
      <c r="I75" t="s">
        <v>55</v>
      </c>
      <c r="J75" t="s">
        <v>17</v>
      </c>
      <c r="K75">
        <v>1759.45</v>
      </c>
    </row>
    <row r="76" spans="1:11">
      <c r="A76">
        <v>174</v>
      </c>
      <c r="B76" t="s">
        <v>235</v>
      </c>
      <c r="C76" t="s">
        <v>236</v>
      </c>
      <c r="D76" t="s">
        <v>237</v>
      </c>
      <c r="E76" t="s">
        <v>82</v>
      </c>
      <c r="F76" t="s">
        <v>96</v>
      </c>
      <c r="G76">
        <v>4</v>
      </c>
      <c r="H76">
        <v>187.48</v>
      </c>
      <c r="I76" t="s">
        <v>55</v>
      </c>
      <c r="J76" t="s">
        <v>49</v>
      </c>
      <c r="K76">
        <v>749.92</v>
      </c>
    </row>
    <row r="77" spans="1:11">
      <c r="A77">
        <v>175</v>
      </c>
      <c r="B77" t="s">
        <v>238</v>
      </c>
      <c r="C77" t="s">
        <v>239</v>
      </c>
      <c r="D77" t="s">
        <v>240</v>
      </c>
      <c r="E77" t="s">
        <v>140</v>
      </c>
      <c r="F77" t="s">
        <v>21</v>
      </c>
      <c r="G77">
        <v>1</v>
      </c>
      <c r="H77">
        <v>111.36</v>
      </c>
      <c r="I77" t="s">
        <v>55</v>
      </c>
      <c r="J77" t="s">
        <v>24</v>
      </c>
      <c r="K77">
        <v>111.36</v>
      </c>
    </row>
    <row r="78" spans="1:11">
      <c r="A78">
        <v>176</v>
      </c>
      <c r="B78" t="s">
        <v>241</v>
      </c>
      <c r="C78" t="s">
        <v>242</v>
      </c>
      <c r="D78" t="s">
        <v>243</v>
      </c>
      <c r="E78" t="s">
        <v>65</v>
      </c>
      <c r="F78" t="s">
        <v>35</v>
      </c>
      <c r="G78">
        <v>5</v>
      </c>
      <c r="H78">
        <v>530.52</v>
      </c>
      <c r="I78" t="s">
        <v>16</v>
      </c>
      <c r="J78" t="s">
        <v>17</v>
      </c>
      <c r="K78">
        <v>2652.6</v>
      </c>
    </row>
    <row r="79" spans="1:11">
      <c r="A79">
        <v>177</v>
      </c>
      <c r="B79" t="s">
        <v>244</v>
      </c>
      <c r="C79" t="s">
        <v>245</v>
      </c>
      <c r="D79" t="s">
        <v>203</v>
      </c>
      <c r="E79" t="s">
        <v>164</v>
      </c>
      <c r="F79" t="s">
        <v>21</v>
      </c>
      <c r="G79">
        <v>1</v>
      </c>
      <c r="H79">
        <v>69.48</v>
      </c>
      <c r="I79" t="s">
        <v>46</v>
      </c>
      <c r="J79" t="s">
        <v>49</v>
      </c>
      <c r="K79">
        <v>69.48</v>
      </c>
    </row>
    <row r="80" spans="1:11">
      <c r="A80">
        <v>178</v>
      </c>
      <c r="B80" t="s">
        <v>246</v>
      </c>
      <c r="C80" t="s">
        <v>247</v>
      </c>
      <c r="D80" t="s">
        <v>248</v>
      </c>
      <c r="E80" t="s">
        <v>28</v>
      </c>
      <c r="F80" t="s">
        <v>29</v>
      </c>
      <c r="G80">
        <v>3</v>
      </c>
      <c r="H80">
        <v>472.14</v>
      </c>
      <c r="I80" t="s">
        <v>23</v>
      </c>
      <c r="J80" t="s">
        <v>49</v>
      </c>
      <c r="K80">
        <v>1416.42</v>
      </c>
    </row>
    <row r="81" spans="1:11">
      <c r="A81">
        <v>179</v>
      </c>
      <c r="B81" t="s">
        <v>249</v>
      </c>
      <c r="C81" t="s">
        <v>250</v>
      </c>
      <c r="D81" s="1">
        <v>45725</v>
      </c>
      <c r="E81" t="s">
        <v>95</v>
      </c>
      <c r="F81" t="s">
        <v>29</v>
      </c>
      <c r="G81">
        <v>3</v>
      </c>
      <c r="H81">
        <v>868.67</v>
      </c>
      <c r="I81" t="s">
        <v>23</v>
      </c>
      <c r="J81" t="s">
        <v>30</v>
      </c>
      <c r="K81">
        <v>2606.0100000000002</v>
      </c>
    </row>
    <row r="82" spans="1:11">
      <c r="A82">
        <v>180</v>
      </c>
      <c r="B82" t="s">
        <v>251</v>
      </c>
      <c r="C82" t="s">
        <v>252</v>
      </c>
      <c r="D82" t="s">
        <v>253</v>
      </c>
      <c r="E82" t="s">
        <v>164</v>
      </c>
      <c r="G82">
        <v>2</v>
      </c>
      <c r="H82">
        <v>418.38</v>
      </c>
      <c r="I82" t="s">
        <v>55</v>
      </c>
      <c r="J82" t="s">
        <v>24</v>
      </c>
      <c r="K82">
        <v>836.76</v>
      </c>
    </row>
    <row r="83" spans="1:11">
      <c r="A83">
        <v>181</v>
      </c>
      <c r="B83" t="s">
        <v>254</v>
      </c>
      <c r="C83" t="s">
        <v>255</v>
      </c>
      <c r="D83" t="s">
        <v>256</v>
      </c>
      <c r="E83" t="s">
        <v>20</v>
      </c>
      <c r="F83" t="s">
        <v>131</v>
      </c>
      <c r="G83">
        <v>1</v>
      </c>
      <c r="H83">
        <v>266.48</v>
      </c>
      <c r="I83" t="s">
        <v>16</v>
      </c>
      <c r="J83" t="s">
        <v>43</v>
      </c>
      <c r="K83">
        <v>266.48</v>
      </c>
    </row>
    <row r="84" spans="1:11">
      <c r="A84">
        <v>182</v>
      </c>
      <c r="B84" t="s">
        <v>257</v>
      </c>
      <c r="C84" t="s">
        <v>258</v>
      </c>
      <c r="D84" s="1">
        <v>45724</v>
      </c>
      <c r="E84" t="s">
        <v>68</v>
      </c>
      <c r="G84">
        <v>4</v>
      </c>
      <c r="H84">
        <v>538.35</v>
      </c>
      <c r="I84" t="s">
        <v>23</v>
      </c>
      <c r="J84" t="s">
        <v>24</v>
      </c>
      <c r="K84">
        <v>2153.4</v>
      </c>
    </row>
    <row r="85" spans="1:11">
      <c r="A85">
        <v>183</v>
      </c>
      <c r="B85" t="s">
        <v>259</v>
      </c>
      <c r="C85" t="s">
        <v>260</v>
      </c>
      <c r="D85" s="1">
        <v>45933</v>
      </c>
      <c r="E85" t="s">
        <v>68</v>
      </c>
      <c r="F85" t="s">
        <v>69</v>
      </c>
      <c r="G85">
        <v>5</v>
      </c>
      <c r="I85" t="s">
        <v>16</v>
      </c>
      <c r="J85" t="s">
        <v>49</v>
      </c>
    </row>
    <row r="86" spans="1:11">
      <c r="A86">
        <v>184</v>
      </c>
      <c r="B86" t="s">
        <v>261</v>
      </c>
      <c r="C86" t="s">
        <v>262</v>
      </c>
      <c r="D86" t="s">
        <v>263</v>
      </c>
      <c r="E86" t="s">
        <v>196</v>
      </c>
      <c r="G86">
        <v>4</v>
      </c>
      <c r="H86">
        <v>101.19</v>
      </c>
      <c r="I86" t="s">
        <v>46</v>
      </c>
      <c r="J86" t="s">
        <v>24</v>
      </c>
      <c r="K86">
        <v>404.76</v>
      </c>
    </row>
    <row r="87" spans="1:11">
      <c r="A87">
        <v>185</v>
      </c>
      <c r="B87" t="s">
        <v>264</v>
      </c>
      <c r="C87" t="s">
        <v>265</v>
      </c>
      <c r="D87" t="s">
        <v>266</v>
      </c>
      <c r="E87" t="s">
        <v>161</v>
      </c>
      <c r="F87" t="s">
        <v>29</v>
      </c>
      <c r="G87">
        <v>2</v>
      </c>
      <c r="H87">
        <v>730.92</v>
      </c>
      <c r="I87" t="s">
        <v>16</v>
      </c>
      <c r="J87" t="s">
        <v>43</v>
      </c>
      <c r="K87">
        <v>1023.288</v>
      </c>
    </row>
    <row r="88" spans="1:11">
      <c r="A88">
        <v>186</v>
      </c>
      <c r="B88" t="s">
        <v>267</v>
      </c>
      <c r="C88" t="s">
        <v>268</v>
      </c>
      <c r="D88" s="1">
        <v>45818</v>
      </c>
      <c r="E88" t="s">
        <v>164</v>
      </c>
      <c r="F88" t="s">
        <v>21</v>
      </c>
      <c r="G88">
        <v>1</v>
      </c>
      <c r="H88">
        <v>365.34</v>
      </c>
      <c r="I88" t="s">
        <v>46</v>
      </c>
      <c r="J88" t="s">
        <v>30</v>
      </c>
      <c r="K88">
        <v>365.34</v>
      </c>
    </row>
    <row r="89" spans="1:11">
      <c r="A89">
        <v>187</v>
      </c>
      <c r="B89" t="s">
        <v>269</v>
      </c>
      <c r="C89" t="s">
        <v>270</v>
      </c>
      <c r="D89" t="s">
        <v>271</v>
      </c>
      <c r="E89" t="s">
        <v>20</v>
      </c>
      <c r="F89" t="s">
        <v>21</v>
      </c>
      <c r="G89">
        <v>3</v>
      </c>
      <c r="H89">
        <v>882.96</v>
      </c>
      <c r="I89" t="s">
        <v>46</v>
      </c>
      <c r="J89" t="s">
        <v>49</v>
      </c>
      <c r="K89">
        <v>2648.88</v>
      </c>
    </row>
    <row r="90" spans="1:11">
      <c r="A90">
        <v>188</v>
      </c>
      <c r="B90" t="s">
        <v>272</v>
      </c>
      <c r="C90" t="s">
        <v>273</v>
      </c>
      <c r="D90" t="s">
        <v>271</v>
      </c>
      <c r="E90" t="s">
        <v>82</v>
      </c>
      <c r="F90" t="s">
        <v>15</v>
      </c>
      <c r="G90">
        <v>5</v>
      </c>
      <c r="H90">
        <v>504.05</v>
      </c>
      <c r="I90" t="s">
        <v>16</v>
      </c>
      <c r="J90" t="s">
        <v>17</v>
      </c>
      <c r="K90">
        <v>2520.25</v>
      </c>
    </row>
    <row r="91" spans="1:11">
      <c r="A91">
        <v>189</v>
      </c>
      <c r="B91" t="s">
        <v>274</v>
      </c>
      <c r="C91" t="s">
        <v>275</v>
      </c>
      <c r="D91" t="s">
        <v>266</v>
      </c>
      <c r="E91" t="s">
        <v>117</v>
      </c>
      <c r="F91" t="s">
        <v>15</v>
      </c>
      <c r="G91">
        <v>1</v>
      </c>
      <c r="H91">
        <v>814.68</v>
      </c>
      <c r="I91" t="s">
        <v>16</v>
      </c>
      <c r="J91" t="s">
        <v>49</v>
      </c>
      <c r="K91">
        <v>814.68</v>
      </c>
    </row>
    <row r="92" spans="1:11">
      <c r="A92">
        <v>190</v>
      </c>
      <c r="B92" t="s">
        <v>276</v>
      </c>
      <c r="C92" t="s">
        <v>277</v>
      </c>
      <c r="D92" t="s">
        <v>175</v>
      </c>
      <c r="E92" t="s">
        <v>105</v>
      </c>
      <c r="F92" t="s">
        <v>15</v>
      </c>
      <c r="G92">
        <v>1</v>
      </c>
      <c r="H92">
        <v>920.37</v>
      </c>
      <c r="I92" t="s">
        <v>46</v>
      </c>
      <c r="J92" t="s">
        <v>24</v>
      </c>
      <c r="K92">
        <v>920.37</v>
      </c>
    </row>
    <row r="93" spans="1:11">
      <c r="A93">
        <v>191</v>
      </c>
      <c r="B93" t="s">
        <v>278</v>
      </c>
      <c r="C93" t="s">
        <v>279</v>
      </c>
      <c r="D93" t="s">
        <v>280</v>
      </c>
      <c r="E93" t="s">
        <v>73</v>
      </c>
      <c r="F93" t="s">
        <v>35</v>
      </c>
      <c r="G93">
        <v>2</v>
      </c>
      <c r="H93">
        <v>881.02</v>
      </c>
      <c r="I93" t="s">
        <v>16</v>
      </c>
      <c r="J93" t="s">
        <v>49</v>
      </c>
      <c r="K93">
        <v>1762.04</v>
      </c>
    </row>
    <row r="94" spans="1:11">
      <c r="A94">
        <v>192</v>
      </c>
      <c r="B94" t="s">
        <v>281</v>
      </c>
      <c r="C94" t="s">
        <v>282</v>
      </c>
      <c r="D94" t="s">
        <v>283</v>
      </c>
      <c r="E94" t="s">
        <v>169</v>
      </c>
      <c r="F94" t="s">
        <v>69</v>
      </c>
      <c r="G94" t="s">
        <v>284</v>
      </c>
      <c r="H94">
        <v>203.63</v>
      </c>
      <c r="I94" t="s">
        <v>55</v>
      </c>
      <c r="J94" t="s">
        <v>49</v>
      </c>
    </row>
    <row r="95" spans="1:11">
      <c r="A95">
        <v>193</v>
      </c>
      <c r="B95" t="s">
        <v>285</v>
      </c>
      <c r="C95" t="s">
        <v>286</v>
      </c>
      <c r="D95" s="1">
        <v>45814</v>
      </c>
      <c r="E95" t="s">
        <v>59</v>
      </c>
      <c r="H95">
        <v>522.02</v>
      </c>
      <c r="I95" t="s">
        <v>23</v>
      </c>
      <c r="J95" t="s">
        <v>17</v>
      </c>
    </row>
    <row r="96" spans="1:11">
      <c r="A96">
        <v>194</v>
      </c>
      <c r="B96" t="s">
        <v>287</v>
      </c>
      <c r="C96" t="s">
        <v>288</v>
      </c>
      <c r="D96" s="1">
        <v>45932</v>
      </c>
      <c r="E96" t="s">
        <v>117</v>
      </c>
      <c r="F96" t="s">
        <v>15</v>
      </c>
      <c r="G96">
        <v>5</v>
      </c>
      <c r="H96">
        <v>944.54</v>
      </c>
      <c r="I96" t="s">
        <v>16</v>
      </c>
      <c r="J96" t="s">
        <v>49</v>
      </c>
      <c r="K96">
        <v>4722.7</v>
      </c>
    </row>
    <row r="97" spans="1:11">
      <c r="A97">
        <v>195</v>
      </c>
      <c r="B97" t="s">
        <v>289</v>
      </c>
      <c r="C97" t="s">
        <v>290</v>
      </c>
      <c r="D97" t="s">
        <v>291</v>
      </c>
      <c r="E97" t="s">
        <v>39</v>
      </c>
      <c r="F97" t="s">
        <v>35</v>
      </c>
      <c r="G97">
        <v>5</v>
      </c>
      <c r="H97">
        <v>817.46</v>
      </c>
      <c r="I97" t="s">
        <v>16</v>
      </c>
      <c r="J97" t="s">
        <v>49</v>
      </c>
      <c r="K97">
        <v>4087.3</v>
      </c>
    </row>
    <row r="98" spans="1:11">
      <c r="A98">
        <v>196</v>
      </c>
      <c r="B98" t="s">
        <v>292</v>
      </c>
      <c r="C98" t="s">
        <v>293</v>
      </c>
      <c r="D98" t="s">
        <v>27</v>
      </c>
      <c r="E98" t="s">
        <v>105</v>
      </c>
      <c r="F98" t="s">
        <v>15</v>
      </c>
      <c r="H98" t="s">
        <v>22</v>
      </c>
      <c r="I98" t="s">
        <v>23</v>
      </c>
      <c r="J98" t="s">
        <v>30</v>
      </c>
    </row>
    <row r="99" spans="1:11">
      <c r="A99">
        <v>197</v>
      </c>
      <c r="B99" t="s">
        <v>294</v>
      </c>
      <c r="C99" t="s">
        <v>295</v>
      </c>
      <c r="D99" t="s">
        <v>296</v>
      </c>
      <c r="E99" t="s">
        <v>14</v>
      </c>
      <c r="F99" t="s">
        <v>15</v>
      </c>
      <c r="G99">
        <v>1</v>
      </c>
      <c r="H99">
        <v>160.16</v>
      </c>
      <c r="I99" t="s">
        <v>23</v>
      </c>
      <c r="J99" t="s">
        <v>43</v>
      </c>
      <c r="K99">
        <v>160.16</v>
      </c>
    </row>
    <row r="100" spans="1:11">
      <c r="A100">
        <v>198</v>
      </c>
      <c r="B100" t="s">
        <v>297</v>
      </c>
      <c r="C100" t="s">
        <v>298</v>
      </c>
      <c r="D100" t="s">
        <v>299</v>
      </c>
      <c r="E100" t="s">
        <v>105</v>
      </c>
      <c r="G100">
        <v>2</v>
      </c>
      <c r="H100">
        <v>497.01</v>
      </c>
      <c r="I100" t="s">
        <v>16</v>
      </c>
      <c r="J100" t="s">
        <v>17</v>
      </c>
      <c r="K100">
        <v>994.02</v>
      </c>
    </row>
    <row r="101" spans="1:11">
      <c r="A101">
        <v>199</v>
      </c>
      <c r="B101" t="s">
        <v>300</v>
      </c>
      <c r="C101" t="s">
        <v>301</v>
      </c>
      <c r="D101" t="s">
        <v>302</v>
      </c>
      <c r="E101" t="s">
        <v>14</v>
      </c>
      <c r="F101" t="s">
        <v>15</v>
      </c>
      <c r="G101">
        <v>5</v>
      </c>
      <c r="H101">
        <v>372.28</v>
      </c>
      <c r="I101" t="s">
        <v>55</v>
      </c>
      <c r="J101" t="s">
        <v>17</v>
      </c>
      <c r="K101">
        <v>1861.4</v>
      </c>
    </row>
    <row r="102" spans="1:11">
      <c r="A102">
        <v>175</v>
      </c>
      <c r="B102" t="s">
        <v>238</v>
      </c>
      <c r="C102" t="s">
        <v>239</v>
      </c>
      <c r="D102" t="s">
        <v>240</v>
      </c>
      <c r="E102" t="s">
        <v>140</v>
      </c>
      <c r="F102" t="s">
        <v>21</v>
      </c>
      <c r="G102">
        <v>1</v>
      </c>
      <c r="H102">
        <v>111.36</v>
      </c>
      <c r="I102" t="s">
        <v>55</v>
      </c>
      <c r="J102" t="s">
        <v>24</v>
      </c>
      <c r="K102">
        <v>77.951999999999998</v>
      </c>
    </row>
    <row r="103" spans="1:11">
      <c r="A103">
        <v>142</v>
      </c>
      <c r="B103" t="s">
        <v>154</v>
      </c>
      <c r="C103" t="s">
        <v>155</v>
      </c>
      <c r="D103" t="s">
        <v>81</v>
      </c>
      <c r="E103" t="s">
        <v>68</v>
      </c>
      <c r="F103" t="s">
        <v>69</v>
      </c>
      <c r="G103">
        <v>5</v>
      </c>
      <c r="H103">
        <v>645.26</v>
      </c>
      <c r="I103" t="s">
        <v>55</v>
      </c>
      <c r="J103" t="s">
        <v>17</v>
      </c>
      <c r="K103">
        <v>3226.3</v>
      </c>
    </row>
    <row r="104" spans="1:11">
      <c r="A104">
        <v>146</v>
      </c>
      <c r="B104" t="s">
        <v>165</v>
      </c>
      <c r="C104" t="s">
        <v>166</v>
      </c>
      <c r="D104" s="1">
        <v>45907</v>
      </c>
      <c r="E104" t="s">
        <v>59</v>
      </c>
      <c r="F104" t="s">
        <v>85</v>
      </c>
      <c r="G104">
        <v>2</v>
      </c>
      <c r="H104">
        <v>705.42</v>
      </c>
      <c r="I104" t="s">
        <v>46</v>
      </c>
      <c r="J104" t="s">
        <v>24</v>
      </c>
      <c r="K104">
        <v>1410.84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A870-B050-4055-9679-E18B31F60B0A}">
  <dimension ref="A1:L103"/>
  <sheetViews>
    <sheetView tabSelected="1" workbookViewId="0">
      <selection sqref="A1:XFD1"/>
    </sheetView>
  </sheetViews>
  <sheetFormatPr defaultRowHeight="15"/>
  <cols>
    <col min="2" max="2" width="16.140625" bestFit="1" customWidth="1"/>
    <col min="3" max="3" width="10.85546875" bestFit="1" customWidth="1"/>
    <col min="4" max="4" width="18" style="2" bestFit="1" customWidth="1"/>
    <col min="5" max="5" width="12.85546875" bestFit="1" customWidth="1"/>
    <col min="6" max="6" width="10.28515625" bestFit="1" customWidth="1"/>
    <col min="7" max="7" width="15.28515625" bestFit="1" customWidth="1"/>
    <col min="8" max="8" width="10.140625" style="3" bestFit="1" customWidth="1"/>
    <col min="9" max="9" width="16.7109375" bestFit="1" customWidth="1"/>
    <col min="10" max="10" width="10.140625" bestFit="1" customWidth="1"/>
    <col min="11" max="11" width="30.140625" bestFit="1" customWidth="1"/>
    <col min="12" max="12" width="11.140625" bestFit="1" customWidth="1"/>
  </cols>
  <sheetData>
    <row r="1" spans="1:12" s="7" customFormat="1">
      <c r="A1" s="7" t="s">
        <v>0</v>
      </c>
      <c r="B1" s="7" t="s">
        <v>1</v>
      </c>
      <c r="C1" s="7" t="s">
        <v>2</v>
      </c>
      <c r="D1" s="19" t="s">
        <v>3</v>
      </c>
      <c r="E1" s="7" t="s">
        <v>4</v>
      </c>
      <c r="F1" s="7" t="s">
        <v>5</v>
      </c>
      <c r="G1" s="7" t="s">
        <v>6</v>
      </c>
      <c r="H1" s="20" t="s">
        <v>7</v>
      </c>
      <c r="I1" s="7" t="s">
        <v>8</v>
      </c>
      <c r="J1" s="7" t="s">
        <v>9</v>
      </c>
      <c r="K1" s="7" t="s">
        <v>10</v>
      </c>
    </row>
    <row r="2" spans="1:12">
      <c r="A2">
        <f>in!A2</f>
        <v>100</v>
      </c>
      <c r="B2" t="str">
        <f>TRIM(in!B2)</f>
        <v>Customer_100</v>
      </c>
      <c r="C2" t="str">
        <f>in!C2</f>
        <v>ORD-41285</v>
      </c>
      <c r="D2" s="2" t="str">
        <f>IFERROR(DATEVALUE(in!D2),in!D2)</f>
        <v>11/22/2024</v>
      </c>
      <c r="E2" t="str">
        <f>PROPER(in!E2)</f>
        <v>Blender</v>
      </c>
      <c r="F2" t="str">
        <f>PROPER(in!F2)</f>
        <v>Home</v>
      </c>
      <c r="G2">
        <f>in!G2</f>
        <v>3</v>
      </c>
      <c r="H2" s="3">
        <f>IF(ISNUMBER(in!H2),in!H2,"")</f>
        <v>38</v>
      </c>
      <c r="I2" t="str">
        <f>IF(in!I2="","unknown",in!I2)</f>
        <v>Cash on Delivery</v>
      </c>
      <c r="J2" t="str">
        <f>in!J2</f>
        <v>Shipped</v>
      </c>
      <c r="K2">
        <f>IFERROR(G2*H2,0)</f>
        <v>114</v>
      </c>
    </row>
    <row r="3" spans="1:12">
      <c r="A3">
        <f>in!A3</f>
        <v>101</v>
      </c>
      <c r="B3" t="str">
        <f>TRIM(in!B3)</f>
        <v>Customer_101</v>
      </c>
      <c r="C3" t="str">
        <f>in!C3</f>
        <v>ORD-35783</v>
      </c>
      <c r="D3" s="2">
        <f>IFERROR(DATEVALUE(in!D3),in!D3)</f>
        <v>45784</v>
      </c>
      <c r="E3" t="str">
        <f>PROPER(in!E3)</f>
        <v>Smartphone</v>
      </c>
      <c r="F3" t="str">
        <f>PROPER(in!F3)</f>
        <v>Electronics</v>
      </c>
      <c r="G3">
        <f>in!G3</f>
        <v>2</v>
      </c>
      <c r="H3" s="3">
        <v>0</v>
      </c>
      <c r="I3" t="str">
        <f>IF(in!I3="","unknown",in!I3)</f>
        <v>PayPal</v>
      </c>
      <c r="J3" t="str">
        <f>in!J3</f>
        <v>Processing</v>
      </c>
      <c r="K3">
        <f t="shared" ref="K3:K20" si="0">IFERROR(G3*H3,0)</f>
        <v>0</v>
      </c>
      <c r="L3" s="1"/>
    </row>
    <row r="4" spans="1:12">
      <c r="A4">
        <f>in!A4</f>
        <v>102</v>
      </c>
      <c r="B4" t="str">
        <f>TRIM(in!B4)</f>
        <v>Customer_102</v>
      </c>
      <c r="C4" t="str">
        <f>in!C4</f>
        <v>ORD-84355</v>
      </c>
      <c r="D4" s="2" t="str">
        <f>IFERROR(DATEVALUE(in!D4),in!D4)</f>
        <v>12/23/2024</v>
      </c>
      <c r="E4" t="str">
        <f>PROPER(in!E4)</f>
        <v>Tennis Racket</v>
      </c>
      <c r="F4" t="str">
        <f>PROPER(in!F4)</f>
        <v>Sports</v>
      </c>
      <c r="G4">
        <f>in!G4</f>
        <v>1</v>
      </c>
      <c r="H4" s="3">
        <f>IF(ISNUMBER(in!H4),in!H4,"")</f>
        <v>389.05</v>
      </c>
      <c r="I4" t="str">
        <f>IF(in!I4="","unknown",in!I4)</f>
        <v>PayPal</v>
      </c>
      <c r="J4" t="str">
        <f>in!J4</f>
        <v>Delivered</v>
      </c>
      <c r="K4">
        <f t="shared" si="0"/>
        <v>389.05</v>
      </c>
    </row>
    <row r="5" spans="1:12">
      <c r="A5">
        <f>in!A5</f>
        <v>103</v>
      </c>
      <c r="B5" t="str">
        <f>TRIM(in!B5)</f>
        <v>Customer_103</v>
      </c>
      <c r="C5" t="str">
        <f>in!C5</f>
        <v>ORD-57811</v>
      </c>
      <c r="D5" s="2" t="str">
        <f>IFERROR(DATEVALUE(in!D5),in!D5)</f>
        <v>3/19/2025</v>
      </c>
      <c r="E5" t="str">
        <f>PROPER(in!E5)</f>
        <v>Science</v>
      </c>
      <c r="F5" t="str">
        <f>PROPER(in!F5)</f>
        <v>Books</v>
      </c>
      <c r="G5">
        <f>in!G5</f>
        <v>5</v>
      </c>
      <c r="H5" s="3">
        <f>IF(ISNUMBER(in!H5),in!H5,"")</f>
        <v>233.92</v>
      </c>
      <c r="I5" t="str">
        <f>IF(in!I5="","unknown",in!I5)</f>
        <v>PayPal</v>
      </c>
      <c r="J5" t="str">
        <f>in!J5</f>
        <v>Processing</v>
      </c>
      <c r="K5">
        <f t="shared" si="0"/>
        <v>1169.5999999999999</v>
      </c>
    </row>
    <row r="6" spans="1:12">
      <c r="A6">
        <f>in!A6</f>
        <v>104</v>
      </c>
      <c r="B6" t="str">
        <f>TRIM(in!B6)</f>
        <v>Customer_104</v>
      </c>
      <c r="C6" t="str">
        <f>in!C6</f>
        <v>ORD-93614</v>
      </c>
      <c r="D6" s="2" t="str">
        <f>IFERROR(DATEVALUE(in!D6),in!D6)</f>
        <v>10/20/2025</v>
      </c>
      <c r="E6" t="str">
        <f>PROPER(in!E6)</f>
        <v>Biography</v>
      </c>
      <c r="F6" t="str">
        <f>PROPER(in!F6)</f>
        <v>Books</v>
      </c>
      <c r="G6">
        <f>in!G6</f>
        <v>1</v>
      </c>
      <c r="H6" s="3">
        <f>IF(ISNUMBER(in!H6),in!H6,"")</f>
        <v>552.51</v>
      </c>
      <c r="I6" t="str">
        <f>IF(in!I6="","unknown",in!I6)</f>
        <v>Cash on Delivery</v>
      </c>
      <c r="J6" t="str">
        <f>in!J6</f>
        <v>Processing</v>
      </c>
      <c r="K6">
        <f t="shared" si="0"/>
        <v>552.51</v>
      </c>
    </row>
    <row r="7" spans="1:12">
      <c r="A7">
        <f>in!A7</f>
        <v>105</v>
      </c>
      <c r="B7" t="str">
        <f>TRIM(in!B7)</f>
        <v>Customer_105</v>
      </c>
      <c r="C7" t="str">
        <f>in!C7</f>
        <v>ORD-22442</v>
      </c>
      <c r="D7" s="2" t="str">
        <f>IFERROR(DATEVALUE(in!D7),in!D7)</f>
        <v>11/20/2024</v>
      </c>
      <c r="E7" t="str">
        <f>PROPER(in!E7)</f>
        <v>Tennis Racket</v>
      </c>
      <c r="F7" t="str">
        <f>PROPER(in!F7)</f>
        <v>Sports</v>
      </c>
      <c r="G7">
        <f>in!G7</f>
        <v>3</v>
      </c>
      <c r="H7" s="3">
        <f>IF(ISNUMBER(in!H7),in!H7,"")</f>
        <v>122.06</v>
      </c>
      <c r="I7" t="str">
        <f>IF(in!I7="","unknown",in!I7)</f>
        <v>Cash on Delivery</v>
      </c>
      <c r="J7" t="str">
        <f>in!J7</f>
        <v>Cancelled</v>
      </c>
      <c r="K7">
        <f t="shared" si="0"/>
        <v>366.18</v>
      </c>
    </row>
    <row r="8" spans="1:12">
      <c r="A8">
        <f>in!A8</f>
        <v>106</v>
      </c>
      <c r="B8" t="str">
        <f>TRIM(in!B8)</f>
        <v>Customer_106</v>
      </c>
      <c r="C8" t="str">
        <f>in!C8</f>
        <v>ORD-25885</v>
      </c>
      <c r="D8" s="2">
        <f>IFERROR(DATEVALUE(in!D8),in!D8)</f>
        <v>45690</v>
      </c>
      <c r="E8" t="str">
        <f>PROPER(in!E8)</f>
        <v>Blender</v>
      </c>
      <c r="F8" t="str">
        <f>PROPER(in!F8)</f>
        <v>Home</v>
      </c>
      <c r="G8">
        <f>in!G8</f>
        <v>0</v>
      </c>
      <c r="H8" s="3">
        <f>IF(ISNUMBER(in!H8),in!H8,"")</f>
        <v>978.63</v>
      </c>
      <c r="I8" t="str">
        <f>IF(in!I8="","unknown",in!I8)</f>
        <v>Bank Transfer</v>
      </c>
      <c r="J8" t="str">
        <f>in!J8</f>
        <v>Processing</v>
      </c>
      <c r="K8">
        <f t="shared" si="0"/>
        <v>0</v>
      </c>
    </row>
    <row r="9" spans="1:12">
      <c r="A9">
        <f>in!A9</f>
        <v>107</v>
      </c>
      <c r="B9" t="str">
        <f>TRIM(in!B9)</f>
        <v>Customer_107</v>
      </c>
      <c r="C9" t="str">
        <f>in!C9</f>
        <v>ORD-89122</v>
      </c>
      <c r="D9" s="2">
        <f>IFERROR(DATEVALUE(in!D9),in!D9)</f>
        <v>45717</v>
      </c>
      <c r="E9" t="str">
        <f>PROPER(in!E9)</f>
        <v>Biography</v>
      </c>
      <c r="F9" t="str">
        <f>PROPER(in!F9)</f>
        <v>Books</v>
      </c>
      <c r="G9">
        <f>in!G9</f>
        <v>5</v>
      </c>
      <c r="H9" s="3">
        <f>IF(ISNUMBER(in!H9),in!H9,"")</f>
        <v>587.67999999999995</v>
      </c>
      <c r="I9" t="str">
        <f>IF(in!I9="","unknown",in!I9)</f>
        <v>PayPal</v>
      </c>
      <c r="J9" t="str">
        <f>in!J9</f>
        <v>Returned</v>
      </c>
      <c r="K9">
        <f t="shared" si="0"/>
        <v>2938.3999999999996</v>
      </c>
    </row>
    <row r="10" spans="1:12">
      <c r="A10">
        <f>in!A10</f>
        <v>108</v>
      </c>
      <c r="B10" t="str">
        <f>TRIM(in!B10)</f>
        <v>Customer_108</v>
      </c>
      <c r="C10" t="str">
        <f>in!C10</f>
        <v>ORD-64400</v>
      </c>
      <c r="D10" s="2" t="str">
        <f>IFERROR(DATEVALUE(in!D10),in!D10)</f>
        <v>10/23/2025</v>
      </c>
      <c r="E10" t="str">
        <f>PROPER(in!E10)</f>
        <v>Science</v>
      </c>
      <c r="F10" t="str">
        <f>PROPER(in!F10)</f>
        <v>Books</v>
      </c>
      <c r="G10">
        <f>in!G10</f>
        <v>1</v>
      </c>
      <c r="H10" s="3">
        <f>IF(ISNUMBER(in!H10),in!H10,"")</f>
        <v>600.29</v>
      </c>
      <c r="I10" t="str">
        <f>IF(in!I10="","unknown",in!I10)</f>
        <v>Cash on Delivery</v>
      </c>
      <c r="J10" t="str">
        <f>in!J10</f>
        <v>Processing</v>
      </c>
      <c r="K10">
        <f t="shared" si="0"/>
        <v>600.29</v>
      </c>
    </row>
    <row r="11" spans="1:12">
      <c r="A11">
        <f>in!A11</f>
        <v>109</v>
      </c>
      <c r="B11" t="str">
        <f>TRIM(in!B11)</f>
        <v>Customer_109</v>
      </c>
      <c r="C11" t="str">
        <f>in!C11</f>
        <v>ORD-18512</v>
      </c>
      <c r="D11" s="2">
        <f>IFERROR(DATEVALUE(in!D11),in!D11)</f>
        <v>45721</v>
      </c>
      <c r="E11" t="str">
        <f>PROPER(in!E11)</f>
        <v>Tennis Racket</v>
      </c>
      <c r="F11" t="str">
        <f>PROPER(in!F11)</f>
        <v>Sports</v>
      </c>
      <c r="G11">
        <f>in!G11</f>
        <v>5</v>
      </c>
      <c r="H11" s="3">
        <f>IF(ISNUMBER(in!H11),in!H11,"")</f>
        <v>168.34</v>
      </c>
      <c r="I11" t="str">
        <f>IF(in!I11="","unknown",in!I11)</f>
        <v>Credit Card</v>
      </c>
      <c r="J11" t="str">
        <f>in!J11</f>
        <v>Shipped</v>
      </c>
      <c r="K11">
        <f t="shared" si="0"/>
        <v>841.7</v>
      </c>
    </row>
    <row r="12" spans="1:12">
      <c r="A12">
        <f>in!A12</f>
        <v>110</v>
      </c>
      <c r="B12" t="str">
        <f>TRIM(in!B12)</f>
        <v>Customer_110</v>
      </c>
      <c r="C12" t="str">
        <f>in!C12</f>
        <v>ORD-61020</v>
      </c>
      <c r="D12" s="2" t="str">
        <f>IFERROR(DATEVALUE(in!D12),in!D12)</f>
        <v>9/26/2025</v>
      </c>
      <c r="E12" t="str">
        <f>PROPER(in!E12)</f>
        <v>Basketball</v>
      </c>
      <c r="F12" t="str">
        <f>PROPER(in!F12)</f>
        <v>Sports</v>
      </c>
      <c r="G12">
        <f>in!G12</f>
        <v>5</v>
      </c>
      <c r="H12" s="3">
        <v>400</v>
      </c>
      <c r="I12" t="str">
        <f>IF(in!I12="","unknown",in!I12)</f>
        <v>Cash on Delivery</v>
      </c>
      <c r="J12" t="str">
        <f>in!J12</f>
        <v>Cancelled</v>
      </c>
      <c r="K12">
        <f t="shared" si="0"/>
        <v>2000</v>
      </c>
    </row>
    <row r="13" spans="1:12">
      <c r="A13">
        <f>in!A13</f>
        <v>111</v>
      </c>
      <c r="B13" t="str">
        <f>TRIM(in!B13)</f>
        <v>Customer_111</v>
      </c>
      <c r="C13" t="str">
        <f>in!C13</f>
        <v>ORD-72349</v>
      </c>
      <c r="D13" s="2" t="str">
        <f>IFERROR(DATEVALUE(in!D13),in!D13)</f>
        <v>10/22/2025</v>
      </c>
      <c r="E13" t="str">
        <f>PROPER(in!E13)</f>
        <v>Comics</v>
      </c>
      <c r="F13" t="str">
        <f>PROPER(in!F13)</f>
        <v>Books</v>
      </c>
      <c r="G13">
        <f>in!G13</f>
        <v>2</v>
      </c>
      <c r="H13" s="3">
        <f>IF(ISNUMBER(in!H13),in!H13,"")</f>
        <v>865.77</v>
      </c>
      <c r="I13" t="str">
        <f>IF(in!I13="","unknown",in!I13)</f>
        <v>Credit Card</v>
      </c>
      <c r="J13" t="str">
        <f>in!J13</f>
        <v>Returned</v>
      </c>
      <c r="K13">
        <f t="shared" si="0"/>
        <v>1731.54</v>
      </c>
    </row>
    <row r="14" spans="1:12">
      <c r="A14">
        <f>in!A14</f>
        <v>112</v>
      </c>
      <c r="B14" t="str">
        <f>TRIM(in!B14)</f>
        <v>Customer_112</v>
      </c>
      <c r="C14" t="str">
        <f>in!C14</f>
        <v>ORD-80867</v>
      </c>
      <c r="D14" s="2">
        <f>IFERROR(DATEVALUE(in!D14),in!D14)</f>
        <v>45691</v>
      </c>
      <c r="E14" t="str">
        <f>PROPER(in!E14)</f>
        <v>Shoes</v>
      </c>
      <c r="F14" t="str">
        <f>PROPER(in!F14)</f>
        <v>Clothing</v>
      </c>
      <c r="G14">
        <f>in!G14</f>
        <v>4</v>
      </c>
      <c r="H14" s="3">
        <f>IF(ISNUMBER(in!H14),in!H14,"")</f>
        <v>752.13</v>
      </c>
      <c r="I14" t="str">
        <f>IF(in!I14="","unknown",in!I14)</f>
        <v>Bank Transfer</v>
      </c>
      <c r="J14" t="str">
        <f>in!J14</f>
        <v>Delivered</v>
      </c>
      <c r="K14">
        <f t="shared" si="0"/>
        <v>3008.52</v>
      </c>
    </row>
    <row r="15" spans="1:12">
      <c r="A15">
        <f>in!A15</f>
        <v>113</v>
      </c>
      <c r="B15" t="str">
        <f>TRIM(in!B15)</f>
        <v>Customer_113</v>
      </c>
      <c r="C15" t="str">
        <f>in!C15</f>
        <v>ORD-23994</v>
      </c>
      <c r="D15" s="2" t="str">
        <f>IFERROR(DATEVALUE(in!D15),in!D15)</f>
        <v>7/24/2025</v>
      </c>
      <c r="E15" t="str">
        <f>PROPER(in!E15)</f>
        <v>Fiction</v>
      </c>
      <c r="F15" t="str">
        <f>PROPER(in!F15)</f>
        <v>Books</v>
      </c>
      <c r="G15">
        <f>in!G15</f>
        <v>1</v>
      </c>
      <c r="H15" s="3">
        <f>IF(ISNUMBER(in!H15),in!H15,"")</f>
        <v>411.81</v>
      </c>
      <c r="I15" t="str">
        <f>IF(in!I15="","unknown",in!I15)</f>
        <v>Credit Card</v>
      </c>
      <c r="J15" t="str">
        <f>in!J15</f>
        <v>Processing</v>
      </c>
      <c r="K15">
        <f t="shared" si="0"/>
        <v>411.81</v>
      </c>
    </row>
    <row r="16" spans="1:12">
      <c r="A16">
        <f>in!A16</f>
        <v>114</v>
      </c>
      <c r="B16" t="str">
        <f>TRIM(in!B16)</f>
        <v>Customer_114</v>
      </c>
      <c r="C16" t="str">
        <f>in!C16</f>
        <v>ORD-77417</v>
      </c>
      <c r="D16" s="2">
        <v>45047</v>
      </c>
      <c r="E16" t="str">
        <f>PROPER(in!E16)</f>
        <v>Smartphone</v>
      </c>
      <c r="F16" t="str">
        <f>PROPER(in!F16)</f>
        <v>Electronics</v>
      </c>
      <c r="G16">
        <f>in!G16</f>
        <v>2</v>
      </c>
      <c r="H16" s="3">
        <f>IF(ISNUMBER(in!H16),in!H16,"")</f>
        <v>413.13</v>
      </c>
      <c r="I16" t="str">
        <f>IF(in!I16="","unknown",in!I16)</f>
        <v>Cash on Delivery</v>
      </c>
      <c r="J16" t="str">
        <f>in!J16</f>
        <v>Shipped</v>
      </c>
      <c r="K16">
        <f t="shared" si="0"/>
        <v>826.26</v>
      </c>
    </row>
    <row r="17" spans="1:11">
      <c r="A17">
        <f>in!A17</f>
        <v>115</v>
      </c>
      <c r="B17" t="str">
        <f>TRIM(in!B17)</f>
        <v>Customer_115</v>
      </c>
      <c r="C17" t="str">
        <f>in!C17</f>
        <v>ORD-72778</v>
      </c>
      <c r="D17" s="2">
        <f>IFERROR(DATEVALUE(in!D17),in!D17)</f>
        <v>45931</v>
      </c>
      <c r="E17" t="str">
        <f>PROPER(in!E17)</f>
        <v>Fiction</v>
      </c>
      <c r="F17" t="str">
        <f>PROPER(in!F17)</f>
        <v>Books</v>
      </c>
      <c r="G17">
        <f>in!G17</f>
        <v>2</v>
      </c>
      <c r="H17" s="3">
        <f>IF(ISNUMBER(in!H17),in!H17,"")</f>
        <v>796.84</v>
      </c>
      <c r="I17" t="str">
        <f>IF(in!I17="","unknown",in!I17)</f>
        <v>Cash on Delivery</v>
      </c>
      <c r="J17" t="str">
        <f>in!J17</f>
        <v>Returned</v>
      </c>
      <c r="K17">
        <f t="shared" si="0"/>
        <v>1593.68</v>
      </c>
    </row>
    <row r="18" spans="1:11">
      <c r="A18">
        <f>in!A18</f>
        <v>116</v>
      </c>
      <c r="B18" t="str">
        <f>TRIM(in!B18)</f>
        <v>Customer_116</v>
      </c>
      <c r="C18" t="str">
        <f>in!C18</f>
        <v>ORD-63660</v>
      </c>
      <c r="D18" s="2" t="str">
        <f>IFERROR(DATEVALUE(in!D18),in!D18)</f>
        <v>10/30/2025</v>
      </c>
      <c r="E18" t="str">
        <f>PROPER(in!E18)</f>
        <v>Microwave</v>
      </c>
      <c r="F18" t="str">
        <f>PROPER(in!F18)</f>
        <v>Home</v>
      </c>
      <c r="G18">
        <f>in!G18</f>
        <v>4</v>
      </c>
      <c r="H18" s="3">
        <v>0</v>
      </c>
      <c r="I18" t="str">
        <f>IF(in!I18="","unknown",in!I18)</f>
        <v>Cash on Delivery</v>
      </c>
      <c r="J18" t="str">
        <f>in!J18</f>
        <v>Processing</v>
      </c>
      <c r="K18">
        <f t="shared" si="0"/>
        <v>0</v>
      </c>
    </row>
    <row r="19" spans="1:11">
      <c r="A19">
        <f>in!A19</f>
        <v>117</v>
      </c>
      <c r="B19" t="str">
        <f>TRIM(in!B19)</f>
        <v>Customer_117</v>
      </c>
      <c r="C19" t="str">
        <f>in!C19</f>
        <v>ORD-72751</v>
      </c>
      <c r="D19" s="2">
        <f>IFERROR(DATEVALUE(in!D19),in!D19)</f>
        <v>45993</v>
      </c>
      <c r="E19" t="str">
        <f>PROPER(in!E19)</f>
        <v>Blender</v>
      </c>
      <c r="F19" t="s">
        <v>21</v>
      </c>
      <c r="G19">
        <v>2</v>
      </c>
      <c r="H19" s="3">
        <f>IF(ISNUMBER(in!H19),in!H19,"")</f>
        <v>10000</v>
      </c>
      <c r="I19" t="str">
        <f>IF(in!I19="","unknown",in!I19)</f>
        <v>Cash on Delivery</v>
      </c>
      <c r="J19" t="str">
        <f>in!J19</f>
        <v>Processing</v>
      </c>
      <c r="K19">
        <f t="shared" si="0"/>
        <v>20000</v>
      </c>
    </row>
    <row r="20" spans="1:11">
      <c r="A20">
        <f>in!A20</f>
        <v>118</v>
      </c>
      <c r="B20" t="str">
        <f>TRIM(in!B20)</f>
        <v>Customer_118</v>
      </c>
      <c r="C20" t="str">
        <f>in!C20</f>
        <v>ORD-96061</v>
      </c>
      <c r="D20" s="2" t="str">
        <f>IFERROR(DATEVALUE(in!D20),in!D20)</f>
        <v>5/31/2025</v>
      </c>
      <c r="E20" t="str">
        <f>PROPER(in!E20)</f>
        <v>Science</v>
      </c>
      <c r="F20" t="str">
        <f>PROPER(in!F20)</f>
        <v>Books</v>
      </c>
      <c r="G20">
        <f>in!G20</f>
        <v>5</v>
      </c>
      <c r="H20" s="3">
        <f>IF(ISNUMBER(in!H20),in!H20,"")</f>
        <v>247.82</v>
      </c>
      <c r="I20" t="str">
        <f>IF(in!I20="","unknown",in!I20)</f>
        <v>PayPal</v>
      </c>
      <c r="J20" t="str">
        <f>in!J20</f>
        <v>Processing</v>
      </c>
      <c r="K20">
        <f t="shared" si="0"/>
        <v>1239.0999999999999</v>
      </c>
    </row>
    <row r="21" spans="1:11">
      <c r="A21">
        <f>in!A21</f>
        <v>119</v>
      </c>
      <c r="B21" t="str">
        <f>TRIM(in!B21)</f>
        <v>Customer_119</v>
      </c>
      <c r="C21" t="str">
        <f>in!C21</f>
        <v>ORD-76016</v>
      </c>
      <c r="D21" s="2" t="str">
        <f>IFERROR(DATEVALUE(in!D21),in!D21)</f>
        <v>12/19/2024</v>
      </c>
      <c r="E21" t="str">
        <f>PROPER(in!E21)</f>
        <v>Basketball</v>
      </c>
      <c r="F21" t="str">
        <f>PROPER(in!F21)</f>
        <v>Sports</v>
      </c>
      <c r="G21">
        <f>in!G21</f>
        <v>4</v>
      </c>
      <c r="H21" s="3">
        <f>IF(ISNUMBER(in!H21),in!H21,"")</f>
        <v>438.19</v>
      </c>
      <c r="I21" t="str">
        <f>IF(in!I21="","unknown",in!I21)</f>
        <v>Cash on Delivery</v>
      </c>
      <c r="J21" t="str">
        <f>in!J21</f>
        <v>Processing</v>
      </c>
      <c r="K21">
        <f t="shared" ref="K21:K84" si="1">IFERROR(G21*H21,0)</f>
        <v>1752.76</v>
      </c>
    </row>
    <row r="22" spans="1:11">
      <c r="A22">
        <f>in!A22</f>
        <v>120</v>
      </c>
      <c r="B22" t="str">
        <f>TRIM(in!B22)</f>
        <v>Customer_120</v>
      </c>
      <c r="C22" t="str">
        <f>in!C22</f>
        <v>ORD-14659</v>
      </c>
      <c r="D22" s="2" t="str">
        <f>IFERROR(DATEVALUE(in!D22),in!D22)</f>
        <v>6/13/2025</v>
      </c>
      <c r="E22" t="str">
        <f>PROPER(in!E22)</f>
        <v>Yoga Mat</v>
      </c>
      <c r="F22" t="str">
        <f>PROPER(in!F22)</f>
        <v>Electronics</v>
      </c>
      <c r="G22">
        <f>in!G22</f>
        <v>5</v>
      </c>
      <c r="H22" s="3">
        <v>0</v>
      </c>
      <c r="I22" t="str">
        <f>IF(in!I22="","unknown",in!I22)</f>
        <v>Credit Card</v>
      </c>
      <c r="J22" t="str">
        <f>in!J22</f>
        <v>Cancelled</v>
      </c>
      <c r="K22">
        <f t="shared" si="1"/>
        <v>0</v>
      </c>
    </row>
    <row r="23" spans="1:11">
      <c r="A23">
        <f>in!A23</f>
        <v>121</v>
      </c>
      <c r="B23" t="str">
        <f>TRIM(in!B23)</f>
        <v>Customer_121</v>
      </c>
      <c r="C23" t="str">
        <f>in!C23</f>
        <v>ORD-80067</v>
      </c>
      <c r="D23" s="2">
        <f>IFERROR(DATEVALUE(in!D23),in!D23)</f>
        <v>45971</v>
      </c>
      <c r="E23" t="str">
        <f>PROPER(in!E23)</f>
        <v>Basketball</v>
      </c>
      <c r="F23" t="str">
        <f>PROPER(in!F23)</f>
        <v>Sports</v>
      </c>
      <c r="G23">
        <f>in!G23</f>
        <v>4</v>
      </c>
      <c r="H23" s="3">
        <f>IF(ISNUMBER(in!H23),in!H23,"")</f>
        <v>523.01</v>
      </c>
      <c r="I23" t="str">
        <f>IF(in!I23="","unknown",in!I23)</f>
        <v>Credit Card</v>
      </c>
      <c r="J23" t="str">
        <f>in!J23</f>
        <v>Delivered</v>
      </c>
      <c r="K23">
        <f t="shared" si="1"/>
        <v>2092.04</v>
      </c>
    </row>
    <row r="24" spans="1:11">
      <c r="A24">
        <f>in!A24</f>
        <v>122</v>
      </c>
      <c r="B24" t="str">
        <f>TRIM(in!B24)</f>
        <v>Customer_122</v>
      </c>
      <c r="C24" t="str">
        <f>in!C24</f>
        <v>ORD-21443</v>
      </c>
      <c r="D24" s="2" t="str">
        <f>IFERROR(DATEVALUE(in!D24),in!D24)</f>
        <v>5/16/2025</v>
      </c>
      <c r="E24" t="str">
        <f>PROPER(in!E24)</f>
        <v>Microwave</v>
      </c>
      <c r="F24" t="str">
        <f>PROPER(in!F24)</f>
        <v>Home</v>
      </c>
      <c r="G24">
        <f>in!G24</f>
        <v>2</v>
      </c>
      <c r="H24" s="3">
        <f>IF(ISNUMBER(in!H24),in!H24,"")</f>
        <v>556.92999999999995</v>
      </c>
      <c r="I24" t="str">
        <f>IF(in!I24="","unknown",in!I24)</f>
        <v>PayPal</v>
      </c>
      <c r="J24" t="str">
        <f>in!J24</f>
        <v>Shipped</v>
      </c>
      <c r="K24">
        <f t="shared" si="1"/>
        <v>1113.8599999999999</v>
      </c>
    </row>
    <row r="25" spans="1:11">
      <c r="A25">
        <f>in!A25</f>
        <v>123</v>
      </c>
      <c r="B25" t="str">
        <f>TRIM(in!B25)</f>
        <v>Customer_123</v>
      </c>
      <c r="C25" t="str">
        <f>in!C25</f>
        <v>ORD-11314</v>
      </c>
      <c r="D25" s="2">
        <f>IFERROR(DATEVALUE(in!D25),in!D25)</f>
        <v>45818</v>
      </c>
      <c r="E25" t="str">
        <f>PROPER(in!E25)</f>
        <v>Vacuum</v>
      </c>
      <c r="F25" t="s">
        <v>21</v>
      </c>
      <c r="G25">
        <f>in!G25</f>
        <v>3</v>
      </c>
      <c r="H25" s="3">
        <f>IF(ISNUMBER(in!H25),in!H25,"")</f>
        <v>615.91</v>
      </c>
      <c r="I25" t="str">
        <f>IF(in!I25="","unknown",in!I25)</f>
        <v>Cash on Delivery</v>
      </c>
      <c r="J25" t="str">
        <f>in!J25</f>
        <v>Cancelled</v>
      </c>
      <c r="K25">
        <f t="shared" si="1"/>
        <v>1847.73</v>
      </c>
    </row>
    <row r="26" spans="1:11">
      <c r="A26">
        <f>in!A26</f>
        <v>124</v>
      </c>
      <c r="B26" t="str">
        <f>TRIM(in!B26)</f>
        <v>Customer_124</v>
      </c>
      <c r="C26" t="str">
        <f>in!C26</f>
        <v>ORD-46136</v>
      </c>
      <c r="D26" s="2" t="str">
        <f>IFERROR(DATEVALUE(in!D26),in!D26)</f>
        <v>5/31/2025</v>
      </c>
      <c r="E26" t="str">
        <f>PROPER(in!E26)</f>
        <v>Comics</v>
      </c>
      <c r="F26" t="str">
        <f>PROPER(in!F26)</f>
        <v>Books</v>
      </c>
      <c r="G26">
        <f>in!G26</f>
        <v>5</v>
      </c>
      <c r="H26" s="3">
        <v>0</v>
      </c>
      <c r="I26" t="str">
        <f>IF(in!I26="","unknown",in!I26)</f>
        <v>PayPal</v>
      </c>
      <c r="J26" t="str">
        <f>in!J26</f>
        <v>Cancelled</v>
      </c>
      <c r="K26">
        <f t="shared" si="1"/>
        <v>0</v>
      </c>
    </row>
    <row r="27" spans="1:11">
      <c r="A27">
        <f>in!A27</f>
        <v>125</v>
      </c>
      <c r="B27" t="str">
        <f>TRIM(in!B27)</f>
        <v>Customer_125</v>
      </c>
      <c r="C27" t="str">
        <f>in!C27</f>
        <v>ORD-23202</v>
      </c>
      <c r="D27" s="2">
        <f>IFERROR(DATEVALUE(in!D27),in!D27)</f>
        <v>45902</v>
      </c>
      <c r="E27" t="str">
        <f>PROPER(in!E27)</f>
        <v>Comics</v>
      </c>
      <c r="F27" t="str">
        <f>PROPER(in!F27)</f>
        <v>Books</v>
      </c>
      <c r="G27">
        <f>in!G27</f>
        <v>4</v>
      </c>
      <c r="H27" s="3">
        <f>IF(ISNUMBER(in!H27),in!H27,"")</f>
        <v>765.69</v>
      </c>
      <c r="I27" t="str">
        <f>IF(in!I27="","unknown",in!I27)</f>
        <v>PayPal</v>
      </c>
      <c r="J27" t="str">
        <f>in!J27</f>
        <v>Shipped</v>
      </c>
      <c r="K27">
        <f t="shared" si="1"/>
        <v>3062.76</v>
      </c>
    </row>
    <row r="28" spans="1:11">
      <c r="A28">
        <f>in!A28</f>
        <v>126</v>
      </c>
      <c r="B28" t="str">
        <f>TRIM(in!B28)</f>
        <v>Customer_126</v>
      </c>
      <c r="C28" t="str">
        <f>in!C28</f>
        <v>ORD-11261</v>
      </c>
      <c r="D28" s="2" t="str">
        <f>IFERROR(DATEVALUE(in!D28),in!D28)</f>
        <v>5/18/2025</v>
      </c>
      <c r="E28" t="str">
        <f>PROPER(in!E28)</f>
        <v>Shoes</v>
      </c>
      <c r="F28" t="str">
        <f>PROPER(in!F28)</f>
        <v>Clothing</v>
      </c>
      <c r="G28">
        <f>in!G28</f>
        <v>4</v>
      </c>
      <c r="H28" s="3">
        <f>IF(ISNUMBER(in!H28),in!H28,"")</f>
        <v>836.8</v>
      </c>
      <c r="I28" t="str">
        <f>IF(in!I28="","unknown",in!I28)</f>
        <v>Bank Transfer</v>
      </c>
      <c r="J28" t="str">
        <f>in!J28</f>
        <v>Cancelled</v>
      </c>
      <c r="K28">
        <f t="shared" si="1"/>
        <v>3347.2</v>
      </c>
    </row>
    <row r="29" spans="1:11">
      <c r="A29">
        <f>in!A29</f>
        <v>127</v>
      </c>
      <c r="B29" t="str">
        <f>TRIM(in!B29)</f>
        <v>Customer_127</v>
      </c>
      <c r="C29" t="str">
        <f>in!C29</f>
        <v>ORD-65482</v>
      </c>
      <c r="D29" s="2">
        <f>IFERROR(DATEVALUE(in!D29),in!D29)</f>
        <v>45996</v>
      </c>
      <c r="E29" t="str">
        <f>PROPER(in!E29)</f>
        <v>Blender</v>
      </c>
      <c r="F29" t="str">
        <f>PROPER(in!F29)</f>
        <v>Home</v>
      </c>
      <c r="G29">
        <f>in!G29</f>
        <v>5</v>
      </c>
      <c r="H29" s="3">
        <f>IF(ISNUMBER(in!H29),in!H29,"")</f>
        <v>336.02</v>
      </c>
      <c r="I29" t="str">
        <f>IF(in!I29="","unknown",in!I29)</f>
        <v>Bank Transfer</v>
      </c>
      <c r="J29" t="str">
        <f>in!J29</f>
        <v>Returned</v>
      </c>
      <c r="K29">
        <f t="shared" si="1"/>
        <v>1680.1</v>
      </c>
    </row>
    <row r="30" spans="1:11">
      <c r="A30">
        <f>in!A30</f>
        <v>128</v>
      </c>
      <c r="B30" t="str">
        <f>TRIM(in!B30)</f>
        <v>Customer_128</v>
      </c>
      <c r="C30" t="str">
        <f>in!C30</f>
        <v>ORD-12270</v>
      </c>
      <c r="D30" s="2">
        <f>IFERROR(DATEVALUE(in!D30),in!D30)</f>
        <v>45576</v>
      </c>
      <c r="E30" t="str">
        <f>PROPER(in!E30)</f>
        <v>Lamp</v>
      </c>
      <c r="F30" t="str">
        <f>PROPER(in!F30)</f>
        <v>Electronics</v>
      </c>
      <c r="G30">
        <f>in!G30</f>
        <v>3</v>
      </c>
      <c r="H30" s="3">
        <f>IF(ISNUMBER(in!H30),in!H30,"")</f>
        <v>898.69</v>
      </c>
      <c r="I30" t="str">
        <f>IF(in!I30="","unknown",in!I30)</f>
        <v>Bank Transfer</v>
      </c>
      <c r="J30" t="str">
        <f>in!J30</f>
        <v>Delivered</v>
      </c>
      <c r="K30">
        <f t="shared" si="1"/>
        <v>2696.07</v>
      </c>
    </row>
    <row r="31" spans="1:11">
      <c r="A31">
        <f>in!A31</f>
        <v>129</v>
      </c>
      <c r="B31" t="str">
        <f>TRIM(in!B31)</f>
        <v>Customer_129</v>
      </c>
      <c r="C31" t="str">
        <f>in!C31</f>
        <v>ORD-48863</v>
      </c>
      <c r="D31" s="2" t="str">
        <f>IFERROR(DATEVALUE(in!D31),in!D31)</f>
        <v>6/22/2025</v>
      </c>
      <c r="E31" t="str">
        <f>PROPER(in!E31)</f>
        <v>Science</v>
      </c>
      <c r="F31" t="str">
        <f>PROPER(in!F31)</f>
        <v>Books</v>
      </c>
      <c r="G31">
        <f>in!G31</f>
        <v>4</v>
      </c>
      <c r="H31" s="3">
        <f>IF(ISNUMBER(in!H31),in!H31,"")</f>
        <v>736.71</v>
      </c>
      <c r="I31" t="str">
        <f>IF(in!I31="","unknown",in!I31)</f>
        <v>Bank Transfer</v>
      </c>
      <c r="J31" t="str">
        <f>in!J31</f>
        <v>Returned</v>
      </c>
      <c r="K31">
        <f t="shared" si="1"/>
        <v>2946.84</v>
      </c>
    </row>
    <row r="32" spans="1:11">
      <c r="A32">
        <f>in!A32</f>
        <v>130</v>
      </c>
      <c r="B32" t="str">
        <f>TRIM(in!B32)</f>
        <v>Customer_130</v>
      </c>
      <c r="C32" t="str">
        <f>in!C32</f>
        <v>ORD-34007</v>
      </c>
      <c r="D32" s="2" t="str">
        <f>IFERROR(DATEVALUE(in!D32),in!D32)</f>
        <v>8/15/2025</v>
      </c>
      <c r="E32" t="str">
        <f>PROPER(in!E32)</f>
        <v>Tennis Racket</v>
      </c>
      <c r="F32" t="str">
        <f>PROPER(in!F32)</f>
        <v>Sports</v>
      </c>
      <c r="G32">
        <f>in!G32</f>
        <v>2</v>
      </c>
      <c r="H32" s="3">
        <v>0</v>
      </c>
      <c r="I32" t="str">
        <f>IF(in!I32="","unknown",in!I32)</f>
        <v>Bank Transfer</v>
      </c>
      <c r="J32" t="str">
        <f>in!J32</f>
        <v>Processing</v>
      </c>
      <c r="K32">
        <f t="shared" si="1"/>
        <v>0</v>
      </c>
    </row>
    <row r="33" spans="1:11">
      <c r="A33">
        <f>in!A33</f>
        <v>131</v>
      </c>
      <c r="B33" t="str">
        <f>TRIM(in!B33)</f>
        <v>Customer_131</v>
      </c>
      <c r="C33" t="str">
        <f>in!C33</f>
        <v>ORD-91396</v>
      </c>
      <c r="D33" s="2">
        <f>IFERROR(DATEVALUE(in!D33),in!D33)</f>
        <v>45967</v>
      </c>
      <c r="E33" t="str">
        <f>PROPER(in!E33)</f>
        <v>Lamp</v>
      </c>
      <c r="F33" t="str">
        <f>PROPER(in!F33)</f>
        <v>Home</v>
      </c>
      <c r="G33">
        <f>in!G33</f>
        <v>5</v>
      </c>
      <c r="H33" s="3">
        <f>IF(ISNUMBER(in!H33),in!H33,"")</f>
        <v>616.63</v>
      </c>
      <c r="I33" t="str">
        <f>IF(in!I33="","unknown",in!I33)</f>
        <v>PayPal</v>
      </c>
      <c r="J33" t="str">
        <f>in!J33</f>
        <v>Shipped</v>
      </c>
      <c r="K33">
        <f t="shared" si="1"/>
        <v>3083.15</v>
      </c>
    </row>
    <row r="34" spans="1:11">
      <c r="A34">
        <f>in!A34</f>
        <v>132</v>
      </c>
      <c r="B34" t="str">
        <f>TRIM(in!B34)</f>
        <v>Customer_132</v>
      </c>
      <c r="C34" t="str">
        <f>in!C34</f>
        <v>ORD-40186</v>
      </c>
      <c r="D34" s="2">
        <f>IFERROR(DATEVALUE(in!D34),in!D34)</f>
        <v>45692</v>
      </c>
      <c r="E34" t="str">
        <f>PROPER(in!E34)</f>
        <v>Yoga Mat</v>
      </c>
      <c r="F34" t="str">
        <f>PROPER(in!F34)</f>
        <v>Electronics</v>
      </c>
      <c r="G34">
        <f>in!G34</f>
        <v>1</v>
      </c>
      <c r="H34" s="3">
        <f>IF(ISNUMBER(in!H34),in!H34,"")</f>
        <v>266.7</v>
      </c>
      <c r="I34" t="str">
        <f>IF(in!I34="","unknown",in!I34)</f>
        <v>PayPal</v>
      </c>
      <c r="J34" t="str">
        <f>in!J34</f>
        <v>Delivered</v>
      </c>
      <c r="K34">
        <f t="shared" si="1"/>
        <v>266.7</v>
      </c>
    </row>
    <row r="35" spans="1:11">
      <c r="A35">
        <f>in!A35</f>
        <v>133</v>
      </c>
      <c r="B35" t="str">
        <f>TRIM(in!B35)</f>
        <v>Customer_133</v>
      </c>
      <c r="C35" t="str">
        <f>in!C35</f>
        <v>ORD-68182</v>
      </c>
      <c r="D35" s="2">
        <f>IFERROR(DATEVALUE(in!D35),in!D35)</f>
        <v>45424</v>
      </c>
      <c r="E35" t="str">
        <f>PROPER(in!E35)</f>
        <v>Biography</v>
      </c>
      <c r="F35" t="s">
        <v>21</v>
      </c>
      <c r="G35">
        <f>in!G35</f>
        <v>5</v>
      </c>
      <c r="H35" s="3">
        <f>IF(ISNUMBER(in!H35),in!H35,"")</f>
        <v>343.24</v>
      </c>
      <c r="I35" t="str">
        <f>IF(in!I35="","unknown",in!I35)</f>
        <v>Credit Card</v>
      </c>
      <c r="J35" t="str">
        <f>in!J35</f>
        <v>Shipped</v>
      </c>
      <c r="K35">
        <f t="shared" si="1"/>
        <v>1716.2</v>
      </c>
    </row>
    <row r="36" spans="1:11">
      <c r="A36">
        <f>in!A36</f>
        <v>134</v>
      </c>
      <c r="B36" t="str">
        <f>TRIM(in!B36)</f>
        <v>Customer_134</v>
      </c>
      <c r="C36" t="str">
        <f>in!C36</f>
        <v>ORD-16585</v>
      </c>
      <c r="D36" s="2">
        <f>IFERROR(DATEVALUE(in!D36),in!D36)</f>
        <v>45757</v>
      </c>
      <c r="E36" t="str">
        <f>PROPER(in!E36)</f>
        <v>T-Shirt</v>
      </c>
      <c r="F36" t="str">
        <f>PROPER(in!F36)</f>
        <v>Clothing</v>
      </c>
      <c r="G36">
        <v>5</v>
      </c>
      <c r="H36" s="3">
        <f>IF(ISNUMBER(in!H36),in!H36,"")</f>
        <v>591.53</v>
      </c>
      <c r="I36" t="str">
        <f>IF(in!I36="","unknown",in!I36)</f>
        <v>PayPal</v>
      </c>
      <c r="J36" t="str">
        <f>in!J36</f>
        <v>Shipped</v>
      </c>
      <c r="K36">
        <f t="shared" si="1"/>
        <v>2957.6499999999996</v>
      </c>
    </row>
    <row r="37" spans="1:11">
      <c r="A37">
        <f>in!A37</f>
        <v>135</v>
      </c>
      <c r="B37" t="str">
        <f>TRIM(in!B37)</f>
        <v>Customer_135</v>
      </c>
      <c r="C37" t="str">
        <f>in!C37</f>
        <v>ORD-33656</v>
      </c>
      <c r="D37" s="2">
        <f>IFERROR(DATEVALUE(in!D37),in!D37)</f>
        <v>45902</v>
      </c>
      <c r="E37" t="str">
        <f>PROPER(in!E37)</f>
        <v>Smartwatch</v>
      </c>
      <c r="F37" t="str">
        <f>PROPER(in!F37)</f>
        <v>Electronics</v>
      </c>
      <c r="G37">
        <f>in!G37</f>
        <v>4</v>
      </c>
      <c r="H37" s="3">
        <f>IF(ISNUMBER(in!H37),in!H37,"")</f>
        <v>446.19</v>
      </c>
      <c r="I37" t="str">
        <f>IF(in!I37="","unknown",in!I37)</f>
        <v>Cash on Delivery</v>
      </c>
      <c r="J37" t="str">
        <f>in!J37</f>
        <v>Cancelled</v>
      </c>
      <c r="K37">
        <f t="shared" si="1"/>
        <v>1784.76</v>
      </c>
    </row>
    <row r="38" spans="1:11">
      <c r="A38">
        <f>in!A38</f>
        <v>136</v>
      </c>
      <c r="B38" t="str">
        <f>TRIM(in!B38)</f>
        <v>Customer_136</v>
      </c>
      <c r="C38" t="str">
        <f>in!C38</f>
        <v>ORD-20985</v>
      </c>
      <c r="D38" s="2">
        <f>IFERROR(DATEVALUE(in!D38),in!D38)</f>
        <v>45997</v>
      </c>
      <c r="E38" t="str">
        <f>PROPER(in!E38)</f>
        <v>Headphones</v>
      </c>
      <c r="F38" t="s">
        <v>21</v>
      </c>
      <c r="G38">
        <f>in!G38</f>
        <v>1</v>
      </c>
      <c r="H38" s="3">
        <f>IF(ISNUMBER(in!H38),in!H38,"")</f>
        <v>696.71</v>
      </c>
      <c r="I38" t="str">
        <f>IF(in!I38="","unknown",in!I38)</f>
        <v>Credit Card</v>
      </c>
      <c r="J38" t="str">
        <f>in!J38</f>
        <v>Delivered</v>
      </c>
      <c r="K38">
        <f t="shared" si="1"/>
        <v>696.71</v>
      </c>
    </row>
    <row r="39" spans="1:11">
      <c r="A39">
        <f>in!A39</f>
        <v>137</v>
      </c>
      <c r="B39" t="str">
        <f>TRIM(in!B39)</f>
        <v>Customer_137</v>
      </c>
      <c r="C39" t="str">
        <f>in!C39</f>
        <v>ORD-91254</v>
      </c>
      <c r="D39" s="2" t="str">
        <f>IFERROR(DATEVALUE(in!D39),in!D39)</f>
        <v>2/23/2025</v>
      </c>
      <c r="E39" t="str">
        <f>PROPER(in!E39)</f>
        <v>Vacuum</v>
      </c>
      <c r="F39" t="str">
        <f>PROPER(in!F39)</f>
        <v>Home</v>
      </c>
      <c r="G39">
        <f>in!G39</f>
        <v>3</v>
      </c>
      <c r="H39" s="3">
        <v>100</v>
      </c>
      <c r="I39" t="str">
        <f>IF(in!I39="","unknown",in!I39)</f>
        <v>Cash on Delivery</v>
      </c>
      <c r="J39" t="str">
        <f>in!J39</f>
        <v>Delivered</v>
      </c>
      <c r="K39">
        <f t="shared" si="1"/>
        <v>300</v>
      </c>
    </row>
    <row r="40" spans="1:11">
      <c r="A40">
        <f>in!A40</f>
        <v>138</v>
      </c>
      <c r="B40" t="str">
        <f>TRIM(in!B40)</f>
        <v>Customer_138</v>
      </c>
      <c r="C40" t="str">
        <f>in!C40</f>
        <v>ORD-34319</v>
      </c>
      <c r="D40" s="2">
        <f>IFERROR(DATEVALUE(in!D40),in!D40)</f>
        <v>45908</v>
      </c>
      <c r="E40" t="str">
        <f>PROPER(in!E40)</f>
        <v>Lamp</v>
      </c>
      <c r="F40" t="str">
        <f>PROPER(in!F40)</f>
        <v>Home</v>
      </c>
      <c r="G40">
        <f>in!G40</f>
        <v>1</v>
      </c>
      <c r="H40" s="3">
        <f>IF(ISNUMBER(in!H40),in!H40,"")</f>
        <v>531.05999999999995</v>
      </c>
      <c r="I40" t="str">
        <f>IF(in!I40="","unknown",in!I40)</f>
        <v>PayPal</v>
      </c>
      <c r="J40" t="str">
        <f>in!J40</f>
        <v>Processing</v>
      </c>
      <c r="K40">
        <f t="shared" si="1"/>
        <v>531.05999999999995</v>
      </c>
    </row>
    <row r="41" spans="1:11">
      <c r="A41">
        <f>in!A41</f>
        <v>139</v>
      </c>
      <c r="B41" t="str">
        <f>TRIM(in!B41)</f>
        <v>Customer_139</v>
      </c>
      <c r="C41" t="str">
        <f>in!C41</f>
        <v>ORD-38418</v>
      </c>
      <c r="D41" s="2">
        <f>IFERROR(DATEVALUE(in!D41),in!D41)</f>
        <v>45902</v>
      </c>
      <c r="E41" t="str">
        <f>PROPER(in!E41)</f>
        <v>Smartphone</v>
      </c>
      <c r="F41" t="str">
        <f>PROPER(in!F41)</f>
        <v>Electronics</v>
      </c>
      <c r="G41">
        <f>in!G41</f>
        <v>2</v>
      </c>
      <c r="H41" s="3">
        <f>IF(ISNUMBER(in!H41),in!H41,"")</f>
        <v>681.38</v>
      </c>
      <c r="I41" t="str">
        <f>IF(in!I41="","unknown",in!I41)</f>
        <v>Credit Card</v>
      </c>
      <c r="J41" t="str">
        <f>in!J41</f>
        <v>Cancelled</v>
      </c>
      <c r="K41">
        <f t="shared" si="1"/>
        <v>1362.76</v>
      </c>
    </row>
    <row r="42" spans="1:11">
      <c r="A42">
        <f>in!A42</f>
        <v>140</v>
      </c>
      <c r="B42" t="str">
        <f>TRIM(in!B42)</f>
        <v>Customer_140</v>
      </c>
      <c r="C42" t="str">
        <f>in!C42</f>
        <v>ORD-67096</v>
      </c>
      <c r="D42" s="2" t="str">
        <f>IFERROR(DATEVALUE(in!D42),in!D42)</f>
        <v>2/26/2025</v>
      </c>
      <c r="E42" t="str">
        <f>PROPER(in!E42)</f>
        <v>Fiction</v>
      </c>
      <c r="F42" t="str">
        <f>PROPER(in!F42)</f>
        <v>Books</v>
      </c>
      <c r="G42">
        <f>in!G42</f>
        <v>4</v>
      </c>
      <c r="H42" s="3">
        <f>IF(ISNUMBER(in!H42),in!H42,"")</f>
        <v>588.98</v>
      </c>
      <c r="I42" t="str">
        <f>IF(in!I42="","unknown",in!I42)</f>
        <v>Credit Card</v>
      </c>
      <c r="J42" t="str">
        <f>in!J42</f>
        <v>Returned</v>
      </c>
      <c r="K42">
        <f t="shared" si="1"/>
        <v>2355.92</v>
      </c>
    </row>
    <row r="43" spans="1:11">
      <c r="A43">
        <f>in!A43</f>
        <v>141</v>
      </c>
      <c r="B43" t="str">
        <f>TRIM(in!B43)</f>
        <v>Customer_141</v>
      </c>
      <c r="C43" t="str">
        <f>in!C43</f>
        <v>ORD-45059</v>
      </c>
      <c r="D43" s="2" t="str">
        <f>IFERROR(DATEVALUE(in!D43),in!D43)</f>
        <v>2/13/2025</v>
      </c>
      <c r="E43" t="str">
        <f>PROPER(in!E43)</f>
        <v>Fiction</v>
      </c>
      <c r="F43" t="str">
        <f>PROPER(in!F43)</f>
        <v>Books</v>
      </c>
      <c r="G43">
        <f>in!G43</f>
        <v>3</v>
      </c>
      <c r="H43" s="3">
        <f>IF(ISNUMBER(in!H43),in!H43,"")</f>
        <v>546.04</v>
      </c>
      <c r="I43" t="str">
        <f>IF(in!I43="","unknown",in!I43)</f>
        <v>Cash on Delivery</v>
      </c>
      <c r="J43" t="str">
        <f>in!J43</f>
        <v>Returned</v>
      </c>
      <c r="K43">
        <f t="shared" si="1"/>
        <v>1638.12</v>
      </c>
    </row>
    <row r="44" spans="1:11">
      <c r="A44">
        <f>in!A44</f>
        <v>142</v>
      </c>
      <c r="B44" t="str">
        <f>TRIM(in!B44)</f>
        <v>Customer_142</v>
      </c>
      <c r="C44" t="str">
        <f>in!C44</f>
        <v>ORD-69018</v>
      </c>
      <c r="D44" s="2" t="str">
        <f>IFERROR(DATEVALUE(in!D44),in!D44)</f>
        <v>10/30/2025</v>
      </c>
      <c r="E44" t="str">
        <f>PROPER(in!E44)</f>
        <v>Shoes</v>
      </c>
      <c r="F44" t="str">
        <f>PROPER(in!F44)</f>
        <v>Clothing</v>
      </c>
      <c r="G44">
        <f>in!G44</f>
        <v>5</v>
      </c>
      <c r="H44" s="3">
        <f>IF(ISNUMBER(in!H44),in!H44,"")</f>
        <v>645.26</v>
      </c>
      <c r="I44" t="str">
        <f>IF(in!I44="","unknown",in!I44)</f>
        <v>Credit Card</v>
      </c>
      <c r="J44" t="str">
        <f>in!J44</f>
        <v>Shipped</v>
      </c>
      <c r="K44">
        <f t="shared" si="1"/>
        <v>3226.3</v>
      </c>
    </row>
    <row r="45" spans="1:11">
      <c r="A45">
        <f>in!A45</f>
        <v>143</v>
      </c>
      <c r="B45" t="str">
        <f>TRIM(in!B45)</f>
        <v>Customer_143</v>
      </c>
      <c r="C45" t="str">
        <f>in!C45</f>
        <v>ORD-14329</v>
      </c>
      <c r="D45" s="2">
        <f>IFERROR(DATEVALUE(in!D45),in!D45)</f>
        <v>45968</v>
      </c>
      <c r="E45" t="str">
        <f>PROPER(in!E45)</f>
        <v>T-Shirt</v>
      </c>
      <c r="F45" t="str">
        <f>PROPER(in!F45)</f>
        <v>Clothing</v>
      </c>
      <c r="G45">
        <f>in!G45</f>
        <v>5</v>
      </c>
      <c r="H45" s="3">
        <f>IF(ISNUMBER(in!H45),in!H45,"")</f>
        <v>826.77</v>
      </c>
      <c r="I45" t="str">
        <f>IF(in!I45="","unknown",in!I45)</f>
        <v>Bank Transfer</v>
      </c>
      <c r="J45" t="str">
        <f>in!J45</f>
        <v>Cancelled</v>
      </c>
      <c r="K45">
        <f t="shared" si="1"/>
        <v>4133.8500000000004</v>
      </c>
    </row>
    <row r="46" spans="1:11">
      <c r="A46">
        <f>in!A46</f>
        <v>144</v>
      </c>
      <c r="B46" t="str">
        <f>TRIM(in!B46)</f>
        <v>Customer_144</v>
      </c>
      <c r="C46" t="str">
        <f>in!C46</f>
        <v>ORD-89452</v>
      </c>
      <c r="D46" s="2" t="str">
        <f>IFERROR(DATEVALUE(in!D46),in!D46)</f>
        <v>1/27/2025</v>
      </c>
      <c r="E46" t="str">
        <f>PROPER(in!E46)</f>
        <v>Football</v>
      </c>
      <c r="F46" t="str">
        <f>PROPER(in!F46)</f>
        <v>Sports</v>
      </c>
      <c r="G46">
        <f>in!G46</f>
        <v>5</v>
      </c>
      <c r="H46" s="3">
        <f>IF(ISNUMBER(in!H46),in!H46,"")</f>
        <v>849.07</v>
      </c>
      <c r="I46" t="str">
        <f>IF(in!I46="","unknown",in!I46)</f>
        <v>Bank Transfer</v>
      </c>
      <c r="J46" t="str">
        <f>in!J46</f>
        <v>Processing</v>
      </c>
      <c r="K46">
        <f t="shared" si="1"/>
        <v>4245.3500000000004</v>
      </c>
    </row>
    <row r="47" spans="1:11">
      <c r="A47">
        <f>in!A47</f>
        <v>145</v>
      </c>
      <c r="B47" t="str">
        <f>TRIM(in!B47)</f>
        <v>Customer_145</v>
      </c>
      <c r="C47" t="str">
        <f>in!C47</f>
        <v>ORD-75314</v>
      </c>
      <c r="D47" s="2">
        <f>IFERROR(DATEVALUE(in!D47),in!D47)</f>
        <v>44931</v>
      </c>
      <c r="E47" t="str">
        <f>PROPER(in!E47)</f>
        <v>Laptop</v>
      </c>
      <c r="F47" t="str">
        <f>PROPER(in!F47)</f>
        <v>Electronics</v>
      </c>
      <c r="G47">
        <f>in!G47</f>
        <v>2</v>
      </c>
      <c r="H47" s="3">
        <f>IF(ISNUMBER(in!H47),in!H47,"")</f>
        <v>860.99</v>
      </c>
      <c r="I47" t="str">
        <f>IF(in!I47="","unknown",in!I47)</f>
        <v>Bank Transfer</v>
      </c>
      <c r="J47" t="str">
        <f>in!J47</f>
        <v>Returned</v>
      </c>
      <c r="K47">
        <f t="shared" si="1"/>
        <v>1721.98</v>
      </c>
    </row>
    <row r="48" spans="1:11">
      <c r="A48">
        <f>in!A48</f>
        <v>146</v>
      </c>
      <c r="B48" t="str">
        <f>TRIM(in!B48)</f>
        <v>Customer_146</v>
      </c>
      <c r="C48" t="str">
        <f>in!C48</f>
        <v>ORD-32755</v>
      </c>
      <c r="D48" s="2">
        <f>IFERROR(DATEVALUE(in!D48),in!D48)</f>
        <v>45907</v>
      </c>
      <c r="E48" t="str">
        <f>PROPER(in!E48)</f>
        <v>Basketball</v>
      </c>
      <c r="F48" t="s">
        <v>21</v>
      </c>
      <c r="G48">
        <f>in!G48</f>
        <v>2</v>
      </c>
      <c r="H48" s="3">
        <f>IF(ISNUMBER(in!H48),in!H48,"")</f>
        <v>705.42</v>
      </c>
      <c r="I48" t="str">
        <f>IF(in!I48="","unknown",in!I48)</f>
        <v>Bank Transfer</v>
      </c>
      <c r="J48" t="str">
        <f>in!J48</f>
        <v>Processing</v>
      </c>
      <c r="K48">
        <f t="shared" si="1"/>
        <v>1410.84</v>
      </c>
    </row>
    <row r="49" spans="1:11">
      <c r="A49">
        <f>in!A49</f>
        <v>147</v>
      </c>
      <c r="B49" t="str">
        <f>TRIM(in!B49)</f>
        <v>Customer_147</v>
      </c>
      <c r="C49" t="str">
        <f>in!C49</f>
        <v>ORD-80707</v>
      </c>
      <c r="D49" s="2">
        <f>IFERROR(DATEVALUE(in!D49),in!D49)</f>
        <v>45662</v>
      </c>
      <c r="E49" t="str">
        <f>PROPER(in!E49)</f>
        <v>Jacket</v>
      </c>
      <c r="F49" t="str">
        <f>PROPER(in!F49)</f>
        <v>Clothing</v>
      </c>
      <c r="G49">
        <f>in!G49</f>
        <v>4</v>
      </c>
      <c r="H49" s="3">
        <f>IF(ISNUMBER(in!H49),in!H49,"")</f>
        <v>596.15</v>
      </c>
      <c r="I49" t="str">
        <f>IF(in!I49="","unknown",in!I49)</f>
        <v>Cash on Delivery</v>
      </c>
      <c r="J49" t="str">
        <f>in!J49</f>
        <v>Shipped</v>
      </c>
      <c r="K49">
        <f t="shared" si="1"/>
        <v>2384.6</v>
      </c>
    </row>
    <row r="50" spans="1:11">
      <c r="A50">
        <f>in!A50</f>
        <v>148</v>
      </c>
      <c r="B50" t="str">
        <f>TRIM(in!B50)</f>
        <v>Customer_148</v>
      </c>
      <c r="C50" t="str">
        <f>in!C50</f>
        <v>ORD-38423</v>
      </c>
      <c r="D50" s="2" t="str">
        <f>IFERROR(DATEVALUE(in!D50),in!D50)</f>
        <v>3/13/2025</v>
      </c>
      <c r="E50" t="str">
        <f>PROPER(in!E50)</f>
        <v>Tennis Racket</v>
      </c>
      <c r="F50" t="str">
        <f>PROPER(in!F50)</f>
        <v>Sports</v>
      </c>
      <c r="G50">
        <f>in!G50</f>
        <v>1</v>
      </c>
      <c r="H50" s="3">
        <f>IF(ISNUMBER(in!H50),in!H50,"")</f>
        <v>660.98</v>
      </c>
      <c r="I50" t="str">
        <f>IF(in!I50="","unknown",in!I50)</f>
        <v>Cash on Delivery</v>
      </c>
      <c r="J50" t="str">
        <f>in!J50</f>
        <v>Returned</v>
      </c>
      <c r="K50">
        <f t="shared" si="1"/>
        <v>660.98</v>
      </c>
    </row>
    <row r="51" spans="1:11">
      <c r="A51">
        <f>in!A51</f>
        <v>149</v>
      </c>
      <c r="B51" t="str">
        <f>TRIM(in!B51)</f>
        <v>Customer_149</v>
      </c>
      <c r="C51" t="str">
        <f>in!C51</f>
        <v>ORD-95911</v>
      </c>
      <c r="D51" s="2" t="str">
        <f>IFERROR(DATEVALUE(in!D51),in!D51)</f>
        <v>6/29/2025</v>
      </c>
      <c r="E51" t="str">
        <f>PROPER(in!E51)</f>
        <v>Comics</v>
      </c>
      <c r="F51" t="str">
        <f>PROPER(in!F51)</f>
        <v>Books</v>
      </c>
      <c r="G51">
        <f>in!G51</f>
        <v>5</v>
      </c>
      <c r="H51" s="3">
        <f>IF(ISNUMBER(in!H51),in!H51,"")</f>
        <v>896.38</v>
      </c>
      <c r="I51" t="str">
        <f>IF(in!I51="","unknown",in!I51)</f>
        <v>Bank Transfer</v>
      </c>
      <c r="J51" t="str">
        <f>in!J51</f>
        <v>Cancelled</v>
      </c>
      <c r="K51">
        <f t="shared" si="1"/>
        <v>4481.8999999999996</v>
      </c>
    </row>
    <row r="52" spans="1:11">
      <c r="A52">
        <f>in!A52</f>
        <v>150</v>
      </c>
      <c r="B52" t="str">
        <f>TRIM(in!B52)</f>
        <v>Customer_150</v>
      </c>
      <c r="C52" t="str">
        <f>in!C52</f>
        <v>ORD-76902</v>
      </c>
      <c r="D52" s="2" t="str">
        <f>IFERROR(DATEVALUE(in!D52),in!D52)</f>
        <v>11/27/2024</v>
      </c>
      <c r="E52" t="str">
        <f>PROPER(in!E52)</f>
        <v>Yoga Mat</v>
      </c>
      <c r="F52" t="str">
        <f>PROPER(in!F52)</f>
        <v>Sports</v>
      </c>
      <c r="G52">
        <f>in!G52</f>
        <v>1</v>
      </c>
      <c r="H52" s="3">
        <f>IF(ISNUMBER(in!H52),in!H52,"")</f>
        <v>206.19</v>
      </c>
      <c r="I52" t="str">
        <f>IF(in!I52="","unknown",in!I52)</f>
        <v>Credit Card</v>
      </c>
      <c r="J52" t="str">
        <f>in!J52</f>
        <v>Returned</v>
      </c>
      <c r="K52">
        <f t="shared" si="1"/>
        <v>206.19</v>
      </c>
    </row>
    <row r="53" spans="1:11">
      <c r="A53">
        <f>in!A53</f>
        <v>151</v>
      </c>
      <c r="B53" t="str">
        <f>TRIM(in!B53)</f>
        <v>Customer_151</v>
      </c>
      <c r="C53" t="str">
        <f>in!C53</f>
        <v>ORD-56552</v>
      </c>
      <c r="D53" s="2">
        <f>IFERROR(DATEVALUE(in!D53),in!D53)</f>
        <v>45664</v>
      </c>
      <c r="E53" t="str">
        <f>PROPER(in!E53)</f>
        <v>Comics</v>
      </c>
      <c r="F53" t="str">
        <f>PROPER(in!F53)</f>
        <v>Books</v>
      </c>
      <c r="G53">
        <f>in!G53</f>
        <v>2</v>
      </c>
      <c r="H53" s="3">
        <f>IF(ISNUMBER(in!H53),in!H53,"")</f>
        <v>457.16</v>
      </c>
      <c r="I53" t="str">
        <f>IF(in!I53="","unknown",in!I53)</f>
        <v>PayPal</v>
      </c>
      <c r="J53" t="str">
        <f>in!J53</f>
        <v>Processing</v>
      </c>
      <c r="K53">
        <f t="shared" si="1"/>
        <v>914.32</v>
      </c>
    </row>
    <row r="54" spans="1:11">
      <c r="A54">
        <f>in!A54</f>
        <v>152</v>
      </c>
      <c r="B54" t="str">
        <f>TRIM(in!B54)</f>
        <v>Customer_152</v>
      </c>
      <c r="C54" t="str">
        <f>in!C54</f>
        <v>ORD-72869</v>
      </c>
      <c r="D54" s="2" t="str">
        <f>IFERROR(DATEVALUE(in!D54),in!D54)</f>
        <v>9/22/2025</v>
      </c>
      <c r="E54" t="str">
        <f>PROPER(in!E54)</f>
        <v>Lamp</v>
      </c>
      <c r="F54" t="str">
        <f>PROPER(in!F54)</f>
        <v>Home</v>
      </c>
      <c r="G54">
        <f>in!G54</f>
        <v>3</v>
      </c>
      <c r="H54" s="3">
        <f>IF(ISNUMBER(in!H54),in!H54,"")</f>
        <v>233.11</v>
      </c>
      <c r="I54" t="str">
        <f>IF(in!I54="","unknown",in!I54)</f>
        <v>PayPal</v>
      </c>
      <c r="J54" t="str">
        <f>in!J54</f>
        <v>Returned</v>
      </c>
      <c r="K54">
        <f t="shared" si="1"/>
        <v>699.33</v>
      </c>
    </row>
    <row r="55" spans="1:11">
      <c r="A55">
        <f>in!A55</f>
        <v>153</v>
      </c>
      <c r="B55" t="str">
        <f>TRIM(in!B55)</f>
        <v>Customer_153</v>
      </c>
      <c r="C55" t="str">
        <f>in!C55</f>
        <v>ORD-29721</v>
      </c>
      <c r="D55" s="2" t="str">
        <f>IFERROR(DATEVALUE(in!D55),in!D55)</f>
        <v>7/16/2025</v>
      </c>
      <c r="E55" t="str">
        <f>PROPER(in!E55)</f>
        <v>Yoga Mat</v>
      </c>
      <c r="F55" t="str">
        <f>PROPER(in!F55)</f>
        <v>Sports</v>
      </c>
      <c r="G55">
        <f>in!G55</f>
        <v>4</v>
      </c>
      <c r="H55" s="3">
        <f>IF(ISNUMBER(in!H55),in!H55,"")</f>
        <v>278.89999999999998</v>
      </c>
      <c r="I55" t="str">
        <f>IF(in!I55="","unknown",in!I55)</f>
        <v>Cash on Delivery</v>
      </c>
      <c r="J55" t="str">
        <f>in!J55</f>
        <v>Processing</v>
      </c>
      <c r="K55">
        <f t="shared" si="1"/>
        <v>1115.5999999999999</v>
      </c>
    </row>
    <row r="56" spans="1:11">
      <c r="A56">
        <f>in!A56</f>
        <v>154</v>
      </c>
      <c r="B56" t="str">
        <f>TRIM(in!B56)</f>
        <v>Customer_154</v>
      </c>
      <c r="C56" t="str">
        <f>in!C56</f>
        <v>ORD-95990</v>
      </c>
      <c r="D56" s="2" t="str">
        <f>IFERROR(DATEVALUE(in!D56),in!D56)</f>
        <v>2/21/2025</v>
      </c>
      <c r="E56" t="str">
        <f>PROPER(in!E56)</f>
        <v>Blender</v>
      </c>
      <c r="F56" t="str">
        <f>PROPER(in!F56)</f>
        <v>Home</v>
      </c>
      <c r="G56">
        <f>in!G56</f>
        <v>5</v>
      </c>
      <c r="H56" s="3">
        <f>IF(ISNUMBER(in!H56),in!H56,"")</f>
        <v>789.64</v>
      </c>
      <c r="I56" t="str">
        <f>IF(in!I56="","unknown",in!I56)</f>
        <v>Cash on Delivery</v>
      </c>
      <c r="J56" t="str">
        <f>in!J56</f>
        <v>Cancelled</v>
      </c>
      <c r="K56">
        <f t="shared" si="1"/>
        <v>3948.2</v>
      </c>
    </row>
    <row r="57" spans="1:11">
      <c r="A57">
        <f>in!A57</f>
        <v>155</v>
      </c>
      <c r="B57" t="str">
        <f>TRIM(in!B57)</f>
        <v>Customer_155</v>
      </c>
      <c r="C57" t="str">
        <f>in!C57</f>
        <v>ORD-20182</v>
      </c>
      <c r="D57" s="2">
        <f>IFERROR(DATEVALUE(in!D57),in!D57)</f>
        <v>45662</v>
      </c>
      <c r="E57" t="str">
        <f>PROPER(in!E57)</f>
        <v>Shoes</v>
      </c>
      <c r="F57" t="str">
        <f>PROPER(in!F57)</f>
        <v>Clothing</v>
      </c>
      <c r="G57">
        <f>in!G57</f>
        <v>1</v>
      </c>
      <c r="H57" s="3">
        <f>IF(ISNUMBER(in!H57),in!H57,"")</f>
        <v>40.950000000000003</v>
      </c>
      <c r="I57" t="str">
        <f>IF(in!I57="","unknown",in!I57)</f>
        <v>PayPal</v>
      </c>
      <c r="J57" t="str">
        <f>in!J57</f>
        <v>Returned</v>
      </c>
      <c r="K57">
        <f t="shared" si="1"/>
        <v>40.950000000000003</v>
      </c>
    </row>
    <row r="58" spans="1:11">
      <c r="A58">
        <f>in!A58</f>
        <v>156</v>
      </c>
      <c r="B58" t="str">
        <f>TRIM(in!B58)</f>
        <v>Customer_156</v>
      </c>
      <c r="C58" t="str">
        <f>in!C58</f>
        <v>ORD-34679</v>
      </c>
      <c r="D58" s="2" t="str">
        <f>IFERROR(DATEVALUE(in!D58),in!D58)</f>
        <v>11/28/2024</v>
      </c>
      <c r="E58" t="str">
        <f>PROPER(in!E58)</f>
        <v>Jeans</v>
      </c>
      <c r="F58" t="str">
        <f>PROPER(in!F58)</f>
        <v>Clothing</v>
      </c>
      <c r="G58">
        <f>in!G58</f>
        <v>2</v>
      </c>
      <c r="H58" s="3">
        <v>0</v>
      </c>
      <c r="I58" t="str">
        <f>IF(in!I58="","unknown",in!I58)</f>
        <v>Bank Transfer</v>
      </c>
      <c r="J58" t="str">
        <f>in!J58</f>
        <v>Shipped</v>
      </c>
      <c r="K58">
        <f t="shared" si="1"/>
        <v>0</v>
      </c>
    </row>
    <row r="59" spans="1:11">
      <c r="A59">
        <f>in!A59</f>
        <v>157</v>
      </c>
      <c r="B59" t="str">
        <f>TRIM(in!B59)</f>
        <v>Customer_157</v>
      </c>
      <c r="C59" t="str">
        <f>in!C59</f>
        <v>ORD-34407</v>
      </c>
      <c r="D59" s="2">
        <f>IFERROR(DATEVALUE(in!D59),in!D59)</f>
        <v>45819</v>
      </c>
      <c r="E59" t="str">
        <f>PROPER(in!E59)</f>
        <v>Jacket</v>
      </c>
      <c r="F59" t="str">
        <f>PROPER(in!F59)</f>
        <v>Clothing</v>
      </c>
      <c r="G59">
        <f>in!G59</f>
        <v>4</v>
      </c>
      <c r="H59" s="3">
        <f>IF(ISNUMBER(in!H59),in!H59,"")</f>
        <v>275.10000000000002</v>
      </c>
      <c r="I59" t="str">
        <f>IF(in!I59="","unknown",in!I59)</f>
        <v>Bank Transfer</v>
      </c>
      <c r="J59" t="str">
        <f>in!J59</f>
        <v>Processing</v>
      </c>
      <c r="K59">
        <f t="shared" si="1"/>
        <v>1100.4000000000001</v>
      </c>
    </row>
    <row r="60" spans="1:11">
      <c r="A60">
        <f>in!A60</f>
        <v>158</v>
      </c>
      <c r="B60" t="str">
        <f>TRIM(in!B60)</f>
        <v>Customer_158</v>
      </c>
      <c r="C60" t="str">
        <f>in!C60</f>
        <v>ORD-35817</v>
      </c>
      <c r="D60" s="2">
        <f>IFERROR(DATEVALUE(in!D60),in!D60)</f>
        <v>45781</v>
      </c>
      <c r="E60" t="str">
        <f>PROPER(in!E60)</f>
        <v>Smartwatch</v>
      </c>
      <c r="F60" t="str">
        <f>PROPER(in!F60)</f>
        <v>Electronics</v>
      </c>
      <c r="G60">
        <f>in!G60</f>
        <v>1</v>
      </c>
      <c r="H60" s="3">
        <f>IF(ISNUMBER(in!H60),in!H60,"")</f>
        <v>933.58</v>
      </c>
      <c r="I60" t="str">
        <f>IF(in!I60="","unknown",in!I60)</f>
        <v>Cash on Delivery</v>
      </c>
      <c r="J60" t="str">
        <f>in!J60</f>
        <v>Shipped</v>
      </c>
      <c r="K60">
        <f t="shared" si="1"/>
        <v>933.58</v>
      </c>
    </row>
    <row r="61" spans="1:11">
      <c r="A61">
        <f>in!A61</f>
        <v>159</v>
      </c>
      <c r="B61" t="str">
        <f>TRIM(in!B61)</f>
        <v>Customer_159</v>
      </c>
      <c r="C61" t="str">
        <f>in!C61</f>
        <v>ORD-98162</v>
      </c>
      <c r="D61" s="2" t="str">
        <f>IFERROR(DATEVALUE(in!D61),in!D61)</f>
        <v>7/28/2025</v>
      </c>
      <c r="E61" t="str">
        <f>PROPER(in!E61)</f>
        <v>Microwave</v>
      </c>
      <c r="F61" t="str">
        <f>PROPER(in!F61)</f>
        <v>Home</v>
      </c>
      <c r="G61">
        <f>in!G61</f>
        <v>3</v>
      </c>
      <c r="H61" s="3">
        <f>IF(ISNUMBER(in!H61),in!H61,"")</f>
        <v>163.16</v>
      </c>
      <c r="I61" t="str">
        <f>IF(in!I61="","unknown",in!I61)</f>
        <v>PayPal</v>
      </c>
      <c r="J61" t="str">
        <f>in!J61</f>
        <v>Shipped</v>
      </c>
      <c r="K61">
        <f t="shared" si="1"/>
        <v>489.48</v>
      </c>
    </row>
    <row r="62" spans="1:11">
      <c r="A62">
        <f>in!A62</f>
        <v>160</v>
      </c>
      <c r="B62" t="str">
        <f>TRIM(in!B62)</f>
        <v>Customer_160</v>
      </c>
      <c r="C62" t="str">
        <f>in!C62</f>
        <v>ORD-96037</v>
      </c>
      <c r="D62" s="2">
        <f>IFERROR(DATEVALUE(in!D62),in!D62)</f>
        <v>45717</v>
      </c>
      <c r="E62" t="str">
        <f>PROPER(in!E62)</f>
        <v>Science</v>
      </c>
      <c r="F62" t="str">
        <f>PROPER(in!F62)</f>
        <v>Books</v>
      </c>
      <c r="G62">
        <f>in!G62</f>
        <v>5</v>
      </c>
      <c r="H62" s="3">
        <f>IF(ISNUMBER(in!H62),in!H62,"")</f>
        <v>242.52</v>
      </c>
      <c r="I62" t="str">
        <f>IF(in!I62="","unknown",in!I62)</f>
        <v>Cash on Delivery</v>
      </c>
      <c r="J62" t="str">
        <f>in!J62</f>
        <v>Returned</v>
      </c>
      <c r="K62">
        <f t="shared" si="1"/>
        <v>1212.6000000000001</v>
      </c>
    </row>
    <row r="63" spans="1:11">
      <c r="A63">
        <f>in!A63</f>
        <v>161</v>
      </c>
      <c r="B63" t="str">
        <f>TRIM(in!B63)</f>
        <v>Customer_161</v>
      </c>
      <c r="C63" t="str">
        <f>in!C63</f>
        <v>ORD-27653</v>
      </c>
      <c r="D63" s="2" t="str">
        <f>IFERROR(DATEVALUE(in!D63),in!D63)</f>
        <v>12/15/2024</v>
      </c>
      <c r="E63" t="str">
        <f>PROPER(in!E63)</f>
        <v>Science</v>
      </c>
      <c r="F63" t="str">
        <f>PROPER(in!F63)</f>
        <v>Books</v>
      </c>
      <c r="G63">
        <f>in!G63</f>
        <v>4</v>
      </c>
      <c r="H63" s="3">
        <f>IF(ISNUMBER(in!H63),in!H63,"")</f>
        <v>209.32</v>
      </c>
      <c r="I63" t="str">
        <f>IF(in!I63="","unknown",in!I63)</f>
        <v>Bank Transfer</v>
      </c>
      <c r="J63" t="str">
        <f>in!J63</f>
        <v>Shipped</v>
      </c>
      <c r="K63">
        <f t="shared" si="1"/>
        <v>837.28</v>
      </c>
    </row>
    <row r="64" spans="1:11">
      <c r="A64">
        <f>in!A64</f>
        <v>162</v>
      </c>
      <c r="B64" t="str">
        <f>TRIM(in!B64)</f>
        <v>Customer_162</v>
      </c>
      <c r="C64" t="str">
        <f>in!C64</f>
        <v>ORD-27743</v>
      </c>
      <c r="D64" s="2" t="str">
        <f>IFERROR(DATEVALUE(in!D64),in!D64)</f>
        <v>5/19/2025</v>
      </c>
      <c r="E64" t="str">
        <f>PROPER(in!E64)</f>
        <v>Blender</v>
      </c>
      <c r="F64" t="str">
        <f>PROPER(in!F64)</f>
        <v>Home</v>
      </c>
      <c r="G64">
        <f>in!G64</f>
        <v>2</v>
      </c>
      <c r="H64" s="3">
        <f>IF(ISNUMBER(in!H64),in!H64,"")</f>
        <v>155.76</v>
      </c>
      <c r="I64" t="str">
        <f>IF(in!I64="","unknown",in!I64)</f>
        <v>Credit Card</v>
      </c>
      <c r="J64" t="str">
        <f>in!J64</f>
        <v>Returned</v>
      </c>
      <c r="K64">
        <f t="shared" si="1"/>
        <v>311.52</v>
      </c>
    </row>
    <row r="65" spans="1:11">
      <c r="A65">
        <f>in!A65</f>
        <v>163</v>
      </c>
      <c r="B65" t="str">
        <f>TRIM(in!B65)</f>
        <v>Customer_163</v>
      </c>
      <c r="C65" t="str">
        <f>in!C65</f>
        <v>ORD-24378</v>
      </c>
      <c r="D65" s="2">
        <f>IFERROR(DATEVALUE(in!D65),in!D65)</f>
        <v>45047</v>
      </c>
      <c r="E65" t="str">
        <f>PROPER(in!E65)</f>
        <v>Smartwatch</v>
      </c>
      <c r="F65" t="str">
        <f>PROPER(in!F65)</f>
        <v>Electronics</v>
      </c>
      <c r="G65">
        <f>in!G65</f>
        <v>3</v>
      </c>
      <c r="H65" s="3">
        <f>IF(ISNUMBER(in!H65),in!H65,"")</f>
        <v>235.26</v>
      </c>
      <c r="I65" t="str">
        <f>IF(in!I65="","unknown",in!I65)</f>
        <v>Cash on Delivery</v>
      </c>
      <c r="J65" t="str">
        <f>in!J65</f>
        <v>Shipped</v>
      </c>
      <c r="K65">
        <f t="shared" si="1"/>
        <v>705.78</v>
      </c>
    </row>
    <row r="66" spans="1:11">
      <c r="A66">
        <f>in!A66</f>
        <v>164</v>
      </c>
      <c r="B66" t="str">
        <f>TRIM(in!B66)</f>
        <v>Customer_164</v>
      </c>
      <c r="C66" t="str">
        <f>in!C66</f>
        <v>ORD-23010</v>
      </c>
      <c r="D66" s="2">
        <f>IFERROR(DATEVALUE(in!D66),in!D66)</f>
        <v>45902</v>
      </c>
      <c r="E66" t="str">
        <f>PROPER(in!E66)</f>
        <v>Tennis Racket</v>
      </c>
      <c r="F66" t="str">
        <f>PROPER(in!F66)</f>
        <v>Sports</v>
      </c>
      <c r="G66">
        <f>in!G66</f>
        <v>0</v>
      </c>
      <c r="H66" s="3">
        <f>IF(ISNUMBER(in!H66),in!H66,"")</f>
        <v>587.64</v>
      </c>
      <c r="I66" t="str">
        <f>IF(in!I66="","unknown",in!I66)</f>
        <v>Credit Card</v>
      </c>
      <c r="J66" t="str">
        <f>in!J66</f>
        <v>Returned</v>
      </c>
      <c r="K66">
        <f t="shared" si="1"/>
        <v>0</v>
      </c>
    </row>
    <row r="67" spans="1:11">
      <c r="A67">
        <f>in!A67</f>
        <v>165</v>
      </c>
      <c r="B67" t="str">
        <f>TRIM(in!B67)</f>
        <v>Customer_165</v>
      </c>
      <c r="C67" t="str">
        <f>in!C67</f>
        <v>ORD-55695</v>
      </c>
      <c r="D67" s="2">
        <f>IFERROR(DATEVALUE(in!D67),in!D67)</f>
        <v>45515</v>
      </c>
      <c r="E67" t="str">
        <f>PROPER(in!E67)</f>
        <v>Shoes</v>
      </c>
      <c r="F67" t="str">
        <f>PROPER(in!F67)</f>
        <v>Clothing</v>
      </c>
      <c r="G67">
        <f>in!G67</f>
        <v>2</v>
      </c>
      <c r="H67" s="3">
        <f>IF(ISNUMBER(in!H67),in!H67,"")</f>
        <v>443.13</v>
      </c>
      <c r="I67" t="str">
        <f>IF(in!I67="","unknown",in!I67)</f>
        <v>Credit Card</v>
      </c>
      <c r="J67" t="str">
        <f>in!J67</f>
        <v>Delivered</v>
      </c>
      <c r="K67">
        <f t="shared" si="1"/>
        <v>886.26</v>
      </c>
    </row>
    <row r="68" spans="1:11">
      <c r="A68">
        <f>in!A68</f>
        <v>166</v>
      </c>
      <c r="B68" t="str">
        <f>TRIM(in!B68)</f>
        <v>Customer_166</v>
      </c>
      <c r="C68" t="str">
        <f>in!C68</f>
        <v>ORD-97756</v>
      </c>
      <c r="D68" s="2">
        <f>IFERROR(DATEVALUE(in!D68),in!D68)</f>
        <v>45723</v>
      </c>
      <c r="E68" t="str">
        <f>PROPER(in!E68)</f>
        <v>T-Shirt</v>
      </c>
      <c r="F68" t="str">
        <f>PROPER(in!F68)</f>
        <v>Electronics</v>
      </c>
      <c r="G68">
        <f>in!G68</f>
        <v>2</v>
      </c>
      <c r="H68" s="3">
        <f>IF(ISNUMBER(in!H68),in!H68,"")</f>
        <v>569.38</v>
      </c>
      <c r="I68" t="str">
        <f>IF(in!I68="","unknown",in!I68)</f>
        <v>Cash on Delivery</v>
      </c>
      <c r="J68" t="str">
        <f>in!J68</f>
        <v>Shipped</v>
      </c>
      <c r="K68">
        <f t="shared" si="1"/>
        <v>1138.76</v>
      </c>
    </row>
    <row r="69" spans="1:11">
      <c r="A69">
        <f>in!A69</f>
        <v>167</v>
      </c>
      <c r="B69" t="str">
        <f>TRIM(in!B69)</f>
        <v>Customer_167</v>
      </c>
      <c r="C69" t="str">
        <f>in!C69</f>
        <v>ORD-30329</v>
      </c>
      <c r="D69" s="2">
        <f>IFERROR(DATEVALUE(in!D69),in!D69)</f>
        <v>45846</v>
      </c>
      <c r="E69" t="str">
        <f>PROPER(in!E69)</f>
        <v>Basketball</v>
      </c>
      <c r="F69" t="str">
        <f>PROPER(in!F69)</f>
        <v>Sports</v>
      </c>
      <c r="G69">
        <f>in!G69</f>
        <v>0</v>
      </c>
      <c r="H69" s="3">
        <f>IF(ISNUMBER(in!H69),in!H69,"")</f>
        <v>593.92999999999995</v>
      </c>
      <c r="I69" t="str">
        <f>IF(in!I69="","unknown",in!I69)</f>
        <v>Cash on Delivery</v>
      </c>
      <c r="J69" t="str">
        <f>in!J69</f>
        <v>Processing</v>
      </c>
      <c r="K69">
        <f t="shared" si="1"/>
        <v>0</v>
      </c>
    </row>
    <row r="70" spans="1:11">
      <c r="A70">
        <f>in!A70</f>
        <v>168</v>
      </c>
      <c r="B70" t="str">
        <f>TRIM(in!B70)</f>
        <v>Customer_168</v>
      </c>
      <c r="C70" t="str">
        <f>in!C70</f>
        <v>ORD-53430</v>
      </c>
      <c r="D70" s="2">
        <f>IFERROR(DATEVALUE(in!D70),in!D70)</f>
        <v>45758</v>
      </c>
      <c r="E70" t="str">
        <f>PROPER(in!E70)</f>
        <v>Biography</v>
      </c>
      <c r="F70" t="str">
        <f>PROPER(in!F70)</f>
        <v>Books</v>
      </c>
      <c r="G70">
        <f>in!G70</f>
        <v>2</v>
      </c>
      <c r="H70" s="3">
        <f>IF(ISNUMBER(in!H70),in!H70,"")</f>
        <v>141.49</v>
      </c>
      <c r="I70" t="str">
        <f>IF(in!I70="","unknown",in!I70)</f>
        <v>PayPal</v>
      </c>
      <c r="J70" t="str">
        <f>in!J70</f>
        <v>Cancelled</v>
      </c>
      <c r="K70">
        <f t="shared" si="1"/>
        <v>282.98</v>
      </c>
    </row>
    <row r="71" spans="1:11">
      <c r="A71">
        <f>in!A71</f>
        <v>169</v>
      </c>
      <c r="B71" t="str">
        <f>TRIM(in!B71)</f>
        <v>Customer_169</v>
      </c>
      <c r="C71" t="str">
        <f>in!C71</f>
        <v>ORD-75539</v>
      </c>
      <c r="D71" s="2">
        <f>IFERROR(DATEVALUE(in!D71),in!D71)</f>
        <v>45999</v>
      </c>
      <c r="E71" t="str">
        <f>PROPER(in!E71)</f>
        <v>Basketball</v>
      </c>
      <c r="F71" t="str">
        <f>PROPER(in!F71)</f>
        <v>Sports</v>
      </c>
      <c r="G71">
        <f>in!G71</f>
        <v>1</v>
      </c>
      <c r="H71" s="3">
        <f>IF(ISNUMBER(in!H71),in!H71,"")</f>
        <v>582.13</v>
      </c>
      <c r="I71" t="str">
        <f>IF(in!I71="","unknown",in!I71)</f>
        <v>Credit Card</v>
      </c>
      <c r="J71" t="str">
        <f>in!J71</f>
        <v>Returned</v>
      </c>
      <c r="K71">
        <f t="shared" si="1"/>
        <v>582.13</v>
      </c>
    </row>
    <row r="72" spans="1:11">
      <c r="A72">
        <f>in!A72</f>
        <v>170</v>
      </c>
      <c r="B72" t="str">
        <f>TRIM(in!B72)</f>
        <v>Customer_170</v>
      </c>
      <c r="C72" t="str">
        <f>in!C72</f>
        <v>ORD-21530</v>
      </c>
      <c r="D72" s="2">
        <f>IFERROR(DATEVALUE(in!D72),in!D72)</f>
        <v>45726</v>
      </c>
      <c r="E72" t="str">
        <f>PROPER(in!E72)</f>
        <v>Jeans</v>
      </c>
      <c r="F72" t="str">
        <f>PROPER(in!F72)</f>
        <v>Clothing</v>
      </c>
      <c r="G72">
        <f>in!G72</f>
        <v>5</v>
      </c>
      <c r="H72" s="3">
        <f>IF(ISNUMBER(in!H72),in!H72,"")</f>
        <v>741.63</v>
      </c>
      <c r="I72" t="str">
        <f>IF(in!I72="","unknown",in!I72)</f>
        <v>Bank Transfer</v>
      </c>
      <c r="J72" t="str">
        <f>in!J72</f>
        <v>Processing</v>
      </c>
      <c r="K72">
        <f t="shared" si="1"/>
        <v>3708.15</v>
      </c>
    </row>
    <row r="73" spans="1:11">
      <c r="A73">
        <f>in!A73</f>
        <v>171</v>
      </c>
      <c r="B73" t="str">
        <f>TRIM(in!B73)</f>
        <v>Customer_171</v>
      </c>
      <c r="C73" t="str">
        <f>in!C73</f>
        <v>ORD-99790</v>
      </c>
      <c r="D73" s="2">
        <f>IFERROR(DATEVALUE(in!D73),in!D73)</f>
        <v>45455</v>
      </c>
      <c r="E73" t="str">
        <f>PROPER(in!E73)</f>
        <v>Shoes</v>
      </c>
      <c r="F73" t="str">
        <f>PROPER(in!F73)</f>
        <v>Clothing</v>
      </c>
      <c r="G73">
        <f>in!G73</f>
        <v>3</v>
      </c>
      <c r="H73" s="3">
        <f>IF(ISNUMBER(in!H73),in!H73,"")</f>
        <v>688.68</v>
      </c>
      <c r="I73" t="str">
        <f>IF(in!I73="","unknown",in!I73)</f>
        <v>PayPal</v>
      </c>
      <c r="J73" t="str">
        <f>in!J73</f>
        <v>Processing</v>
      </c>
      <c r="K73">
        <f t="shared" si="1"/>
        <v>2066.04</v>
      </c>
    </row>
    <row r="74" spans="1:11">
      <c r="A74">
        <f>in!A74</f>
        <v>172</v>
      </c>
      <c r="B74" t="str">
        <f>TRIM(in!B74)</f>
        <v>Customer_172</v>
      </c>
      <c r="C74" t="str">
        <f>in!C74</f>
        <v>ORD-48008</v>
      </c>
      <c r="D74" s="2" t="str">
        <f>IFERROR(DATEVALUE(in!D74),in!D74)</f>
        <v>11/18/2024</v>
      </c>
      <c r="E74" t="str">
        <f>PROPER(in!E74)</f>
        <v>Comics</v>
      </c>
      <c r="F74" t="str">
        <f>PROPER(in!F74)</f>
        <v>Books</v>
      </c>
      <c r="G74">
        <f>in!G74</f>
        <v>2</v>
      </c>
      <c r="H74" s="3">
        <f>IF(ISNUMBER(in!H74),in!H74,"")</f>
        <v>942.76</v>
      </c>
      <c r="I74" t="str">
        <f>IF(in!I74="","unknown",in!I74)</f>
        <v>Bank Transfer</v>
      </c>
      <c r="J74" t="str">
        <f>in!J74</f>
        <v>Returned</v>
      </c>
      <c r="K74">
        <f t="shared" si="1"/>
        <v>1885.52</v>
      </c>
    </row>
    <row r="75" spans="1:11">
      <c r="A75">
        <f>in!A75</f>
        <v>173</v>
      </c>
      <c r="B75" t="str">
        <f>TRIM(in!B75)</f>
        <v>Customer_173</v>
      </c>
      <c r="C75" t="str">
        <f>in!C75</f>
        <v>ORD-42171</v>
      </c>
      <c r="D75" s="2">
        <f>IFERROR(DATEVALUE(in!D75),in!D75)</f>
        <v>45971</v>
      </c>
      <c r="E75" t="str">
        <f>PROPER(in!E75)</f>
        <v>Lamp</v>
      </c>
      <c r="F75" t="str">
        <f>PROPER(in!F75)</f>
        <v>Home</v>
      </c>
      <c r="G75">
        <f>in!G75</f>
        <v>5</v>
      </c>
      <c r="H75" s="3">
        <f>IF(ISNUMBER(in!H75),in!H75,"")</f>
        <v>351.89</v>
      </c>
      <c r="I75" t="str">
        <f>IF(in!I75="","unknown",in!I75)</f>
        <v>Credit Card</v>
      </c>
      <c r="J75" t="str">
        <f>in!J75</f>
        <v>Shipped</v>
      </c>
      <c r="K75">
        <f t="shared" si="1"/>
        <v>1759.4499999999998</v>
      </c>
    </row>
    <row r="76" spans="1:11">
      <c r="A76">
        <f>in!A76</f>
        <v>174</v>
      </c>
      <c r="B76" t="str">
        <f>TRIM(in!B76)</f>
        <v>Customer_174</v>
      </c>
      <c r="C76" t="str">
        <f>in!C76</f>
        <v>ORD-16766</v>
      </c>
      <c r="D76" s="2" t="str">
        <f>IFERROR(DATEVALUE(in!D76),in!D76)</f>
        <v>9/20/2025</v>
      </c>
      <c r="E76" t="str">
        <f>PROPER(in!E76)</f>
        <v>Microwave</v>
      </c>
      <c r="F76" t="str">
        <f>PROPER(in!F76)</f>
        <v>Electronics</v>
      </c>
      <c r="G76">
        <f>in!G76</f>
        <v>4</v>
      </c>
      <c r="H76" s="3">
        <f>IF(ISNUMBER(in!H76),in!H76,"")</f>
        <v>187.48</v>
      </c>
      <c r="I76" t="str">
        <f>IF(in!I76="","unknown",in!I76)</f>
        <v>Credit Card</v>
      </c>
      <c r="J76" t="str">
        <f>in!J76</f>
        <v>Returned</v>
      </c>
      <c r="K76">
        <f t="shared" si="1"/>
        <v>749.92</v>
      </c>
    </row>
    <row r="77" spans="1:11">
      <c r="A77">
        <f>in!A77</f>
        <v>175</v>
      </c>
      <c r="B77" t="str">
        <f>TRIM(in!B77)</f>
        <v>Customer_175</v>
      </c>
      <c r="C77" t="str">
        <f>in!C77</f>
        <v>ORD-56651</v>
      </c>
      <c r="D77" s="2" t="str">
        <f>IFERROR(DATEVALUE(in!D77),in!D77)</f>
        <v>2/24/2025</v>
      </c>
      <c r="E77" t="str">
        <f>PROPER(in!E77)</f>
        <v>Headphones</v>
      </c>
      <c r="F77" t="str">
        <f>PROPER(in!F77)</f>
        <v>Electronics</v>
      </c>
      <c r="G77">
        <f>in!G77</f>
        <v>1</v>
      </c>
      <c r="H77" s="3">
        <f>IF(ISNUMBER(in!H77),in!H77,"")</f>
        <v>111.36</v>
      </c>
      <c r="I77" t="str">
        <f>IF(in!I77="","unknown",in!I77)</f>
        <v>Credit Card</v>
      </c>
      <c r="J77" t="str">
        <f>in!J77</f>
        <v>Processing</v>
      </c>
      <c r="K77">
        <f t="shared" si="1"/>
        <v>111.36</v>
      </c>
    </row>
    <row r="78" spans="1:11">
      <c r="A78">
        <f>in!A78</f>
        <v>176</v>
      </c>
      <c r="B78" t="str">
        <f>TRIM(in!B78)</f>
        <v>Customer_176</v>
      </c>
      <c r="C78" t="str">
        <f>in!C78</f>
        <v>ORD-95794</v>
      </c>
      <c r="D78" s="2" t="str">
        <f>IFERROR(DATEVALUE(in!D78),in!D78)</f>
        <v>7/22/2025</v>
      </c>
      <c r="E78" t="str">
        <f>PROPER(in!E78)</f>
        <v>Comics</v>
      </c>
      <c r="F78" t="str">
        <f>PROPER(in!F78)</f>
        <v>Books</v>
      </c>
      <c r="G78">
        <f>in!G78</f>
        <v>5</v>
      </c>
      <c r="H78" s="3">
        <f>IF(ISNUMBER(in!H78),in!H78,"")</f>
        <v>530.52</v>
      </c>
      <c r="I78" t="str">
        <f>IF(in!I78="","unknown",in!I78)</f>
        <v>Cash on Delivery</v>
      </c>
      <c r="J78" t="str">
        <f>in!J78</f>
        <v>Shipped</v>
      </c>
      <c r="K78">
        <f t="shared" si="1"/>
        <v>2652.6</v>
      </c>
    </row>
    <row r="79" spans="1:11">
      <c r="A79">
        <f>in!A79</f>
        <v>177</v>
      </c>
      <c r="B79" t="str">
        <f>TRIM(in!B79)</f>
        <v>Customer_177</v>
      </c>
      <c r="C79" t="str">
        <f>in!C79</f>
        <v>ORD-64136</v>
      </c>
      <c r="D79" s="2" t="str">
        <f>IFERROR(DATEVALUE(in!D79),in!D79)</f>
        <v>7/28/2025</v>
      </c>
      <c r="E79" t="str">
        <f>PROPER(in!E79)</f>
        <v>Laptop</v>
      </c>
      <c r="F79" t="str">
        <f>PROPER(in!F79)</f>
        <v>Electronics</v>
      </c>
      <c r="G79">
        <f>in!G79</f>
        <v>1</v>
      </c>
      <c r="H79" s="3">
        <f>IF(ISNUMBER(in!H79),in!H79,"")</f>
        <v>69.48</v>
      </c>
      <c r="I79" t="str">
        <f>IF(in!I79="","unknown",in!I79)</f>
        <v>Bank Transfer</v>
      </c>
      <c r="J79" t="str">
        <f>in!J79</f>
        <v>Returned</v>
      </c>
      <c r="K79">
        <f t="shared" si="1"/>
        <v>69.48</v>
      </c>
    </row>
    <row r="80" spans="1:11">
      <c r="A80">
        <f>in!A80</f>
        <v>178</v>
      </c>
      <c r="B80" t="str">
        <f>TRIM(in!B80)</f>
        <v>Customer_178</v>
      </c>
      <c r="C80" t="str">
        <f>in!C80</f>
        <v>ORD-89906</v>
      </c>
      <c r="D80" s="2" t="str">
        <f>IFERROR(DATEVALUE(in!D80),in!D80)</f>
        <v>9/18/2025</v>
      </c>
      <c r="E80" t="str">
        <f>PROPER(in!E80)</f>
        <v>Tennis Racket</v>
      </c>
      <c r="F80" t="str">
        <f>PROPER(in!F80)</f>
        <v>Sports</v>
      </c>
      <c r="G80">
        <f>in!G80</f>
        <v>3</v>
      </c>
      <c r="H80" s="3">
        <f>IF(ISNUMBER(in!H80),in!H80,"")</f>
        <v>472.14</v>
      </c>
      <c r="I80" t="str">
        <f>IF(in!I80="","unknown",in!I80)</f>
        <v>PayPal</v>
      </c>
      <c r="J80" t="str">
        <f>in!J80</f>
        <v>Returned</v>
      </c>
      <c r="K80">
        <f t="shared" si="1"/>
        <v>1416.42</v>
      </c>
    </row>
    <row r="81" spans="1:11">
      <c r="A81">
        <f>in!A81</f>
        <v>179</v>
      </c>
      <c r="B81" t="str">
        <f>TRIM(in!B81)</f>
        <v>Customer_179</v>
      </c>
      <c r="C81" t="str">
        <f>in!C81</f>
        <v>ORD-99328</v>
      </c>
      <c r="D81" s="2">
        <f>IFERROR(DATEVALUE(in!D81),in!D81)</f>
        <v>45725</v>
      </c>
      <c r="E81" t="str">
        <f>PROPER(in!E81)</f>
        <v>Yoga Mat</v>
      </c>
      <c r="F81" t="str">
        <f>PROPER(in!F81)</f>
        <v>Sports</v>
      </c>
      <c r="G81">
        <f>in!G81</f>
        <v>3</v>
      </c>
      <c r="H81" s="3">
        <f>IF(ISNUMBER(in!H81),in!H81,"")</f>
        <v>868.67</v>
      </c>
      <c r="I81" t="str">
        <f>IF(in!I81="","unknown",in!I81)</f>
        <v>PayPal</v>
      </c>
      <c r="J81" t="str">
        <f>in!J81</f>
        <v>Delivered</v>
      </c>
      <c r="K81">
        <f t="shared" si="1"/>
        <v>2606.0099999999998</v>
      </c>
    </row>
    <row r="82" spans="1:11">
      <c r="A82">
        <f>in!A82</f>
        <v>180</v>
      </c>
      <c r="B82" t="str">
        <f>TRIM(in!B82)</f>
        <v>Customer_180</v>
      </c>
      <c r="C82" t="str">
        <f>in!C82</f>
        <v>ORD-86629</v>
      </c>
      <c r="D82" s="2" t="str">
        <f>IFERROR(DATEVALUE(in!D82),in!D82)</f>
        <v>3/26/2025</v>
      </c>
      <c r="E82" t="str">
        <f>PROPER(in!E82)</f>
        <v>Laptop</v>
      </c>
      <c r="F82" t="s">
        <v>21</v>
      </c>
      <c r="G82">
        <f>in!G82</f>
        <v>2</v>
      </c>
      <c r="H82" s="3">
        <f>IF(ISNUMBER(in!H82),in!H82,"")</f>
        <v>418.38</v>
      </c>
      <c r="I82" t="str">
        <f>IF(in!I82="","unknown",in!I82)</f>
        <v>Credit Card</v>
      </c>
      <c r="J82" t="str">
        <f>in!J82</f>
        <v>Processing</v>
      </c>
      <c r="K82">
        <f t="shared" si="1"/>
        <v>836.76</v>
      </c>
    </row>
    <row r="83" spans="1:11">
      <c r="A83">
        <f>in!A83</f>
        <v>181</v>
      </c>
      <c r="B83" t="str">
        <f>TRIM(in!B83)</f>
        <v>Customer_181</v>
      </c>
      <c r="C83" t="str">
        <f>in!C83</f>
        <v>ORD-54481</v>
      </c>
      <c r="D83" s="2" t="str">
        <f>IFERROR(DATEVALUE(in!D83),in!D83)</f>
        <v>12/29/2024</v>
      </c>
      <c r="E83" t="str">
        <f>PROPER(in!E83)</f>
        <v>Smartphone</v>
      </c>
      <c r="F83" t="s">
        <v>21</v>
      </c>
      <c r="G83">
        <f>in!G83</f>
        <v>1</v>
      </c>
      <c r="H83" s="3">
        <f>IF(ISNUMBER(in!H83),in!H83,"")</f>
        <v>266.48</v>
      </c>
      <c r="I83" t="str">
        <f>IF(in!I83="","unknown",in!I83)</f>
        <v>Cash on Delivery</v>
      </c>
      <c r="J83" t="str">
        <f>in!J83</f>
        <v>Cancelled</v>
      </c>
      <c r="K83">
        <f t="shared" si="1"/>
        <v>266.48</v>
      </c>
    </row>
    <row r="84" spans="1:11">
      <c r="A84">
        <f>in!A84</f>
        <v>182</v>
      </c>
      <c r="B84" t="str">
        <f>TRIM(in!B84)</f>
        <v>Customer_182</v>
      </c>
      <c r="C84" t="str">
        <f>in!C84</f>
        <v>ORD-79672</v>
      </c>
      <c r="D84" s="2">
        <f>IFERROR(DATEVALUE(in!D84),in!D84)</f>
        <v>45724</v>
      </c>
      <c r="E84" t="str">
        <f>PROPER(in!E84)</f>
        <v>Shoes</v>
      </c>
      <c r="F84" t="s">
        <v>69</v>
      </c>
      <c r="G84">
        <f>in!G84</f>
        <v>4</v>
      </c>
      <c r="H84" s="3">
        <f>IF(ISNUMBER(in!H84),in!H84,"")</f>
        <v>538.35</v>
      </c>
      <c r="I84" t="str">
        <f>IF(in!I84="","unknown",in!I84)</f>
        <v>PayPal</v>
      </c>
      <c r="J84" t="str">
        <f>in!J84</f>
        <v>Processing</v>
      </c>
      <c r="K84">
        <f t="shared" si="1"/>
        <v>2153.4</v>
      </c>
    </row>
    <row r="85" spans="1:11">
      <c r="A85">
        <f>in!A85</f>
        <v>183</v>
      </c>
      <c r="B85" t="str">
        <f>TRIM(in!B85)</f>
        <v>Customer_183</v>
      </c>
      <c r="C85" t="str">
        <f>in!C85</f>
        <v>ORD-20916</v>
      </c>
      <c r="D85" s="2">
        <f>IFERROR(DATEVALUE(in!D85),in!D85)</f>
        <v>45933</v>
      </c>
      <c r="E85" t="str">
        <f>PROPER(in!E85)</f>
        <v>Shoes</v>
      </c>
      <c r="F85" t="str">
        <f>PROPER(in!F85)</f>
        <v>Clothing</v>
      </c>
      <c r="G85">
        <f>in!G85</f>
        <v>5</v>
      </c>
      <c r="H85" s="3">
        <v>0</v>
      </c>
      <c r="I85" t="str">
        <f>IF(in!I85="","unknown",in!I85)</f>
        <v>Cash on Delivery</v>
      </c>
      <c r="J85" t="str">
        <f>in!J85</f>
        <v>Returned</v>
      </c>
      <c r="K85">
        <f t="shared" ref="K85:K103" si="2">IFERROR(G85*H85,0)</f>
        <v>0</v>
      </c>
    </row>
    <row r="86" spans="1:11">
      <c r="A86">
        <f>in!A86</f>
        <v>184</v>
      </c>
      <c r="B86" t="str">
        <f>TRIM(in!B86)</f>
        <v>Customer_184</v>
      </c>
      <c r="C86" t="str">
        <f>in!C86</f>
        <v>ORD-67799</v>
      </c>
      <c r="D86" s="2" t="str">
        <f>IFERROR(DATEVALUE(in!D86),in!D86)</f>
        <v>2/15/2025</v>
      </c>
      <c r="E86" t="str">
        <f>PROPER(in!E86)</f>
        <v>Jeans</v>
      </c>
      <c r="F86" t="s">
        <v>69</v>
      </c>
      <c r="G86">
        <f>in!G86</f>
        <v>4</v>
      </c>
      <c r="H86" s="3">
        <f>IF(ISNUMBER(in!H86),in!H86,"")</f>
        <v>101.19</v>
      </c>
      <c r="I86" t="str">
        <f>IF(in!I86="","unknown",in!I86)</f>
        <v>Bank Transfer</v>
      </c>
      <c r="J86" t="str">
        <f>in!J86</f>
        <v>Processing</v>
      </c>
      <c r="K86">
        <f t="shared" si="2"/>
        <v>404.76</v>
      </c>
    </row>
    <row r="87" spans="1:11">
      <c r="A87">
        <f>in!A87</f>
        <v>185</v>
      </c>
      <c r="B87" t="str">
        <f>TRIM(in!B87)</f>
        <v>Customer_185</v>
      </c>
      <c r="C87" t="str">
        <f>in!C87</f>
        <v>ORD-57123</v>
      </c>
      <c r="D87" s="2" t="str">
        <f>IFERROR(DATEVALUE(in!D87),in!D87)</f>
        <v>8/14/2025</v>
      </c>
      <c r="E87" t="str">
        <f>PROPER(in!E87)</f>
        <v>Football</v>
      </c>
      <c r="F87" t="str">
        <f>PROPER(in!F87)</f>
        <v>Sports</v>
      </c>
      <c r="G87">
        <f>in!G87</f>
        <v>2</v>
      </c>
      <c r="H87" s="3">
        <f>IF(ISNUMBER(in!H87),in!H87,"")</f>
        <v>730.92</v>
      </c>
      <c r="I87" t="str">
        <f>IF(in!I87="","unknown",in!I87)</f>
        <v>Cash on Delivery</v>
      </c>
      <c r="J87" t="str">
        <f>in!J87</f>
        <v>Cancelled</v>
      </c>
      <c r="K87">
        <f t="shared" si="2"/>
        <v>1461.84</v>
      </c>
    </row>
    <row r="88" spans="1:11">
      <c r="A88">
        <f>in!A88</f>
        <v>186</v>
      </c>
      <c r="B88" t="str">
        <f>TRIM(in!B88)</f>
        <v>Customer_186</v>
      </c>
      <c r="C88" t="str">
        <f>in!C88</f>
        <v>ORD-90569</v>
      </c>
      <c r="D88" s="2">
        <f>IFERROR(DATEVALUE(in!D88),in!D88)</f>
        <v>45818</v>
      </c>
      <c r="E88" t="str">
        <f>PROPER(in!E88)</f>
        <v>Laptop</v>
      </c>
      <c r="F88" t="str">
        <f>PROPER(in!F88)</f>
        <v>Electronics</v>
      </c>
      <c r="G88">
        <f>in!G88</f>
        <v>1</v>
      </c>
      <c r="H88" s="3">
        <f>IF(ISNUMBER(in!H88),in!H88,"")</f>
        <v>365.34</v>
      </c>
      <c r="I88" t="str">
        <f>IF(in!I88="","unknown",in!I88)</f>
        <v>Bank Transfer</v>
      </c>
      <c r="J88" t="str">
        <f>in!J88</f>
        <v>Delivered</v>
      </c>
      <c r="K88">
        <f t="shared" si="2"/>
        <v>365.34</v>
      </c>
    </row>
    <row r="89" spans="1:11">
      <c r="A89">
        <f>in!A89</f>
        <v>187</v>
      </c>
      <c r="B89" t="str">
        <f>TRIM(in!B89)</f>
        <v>Customer_187</v>
      </c>
      <c r="C89" t="str">
        <f>in!C89</f>
        <v>ORD-41292</v>
      </c>
      <c r="D89" s="2" t="str">
        <f>IFERROR(DATEVALUE(in!D89),in!D89)</f>
        <v>11/19/2024</v>
      </c>
      <c r="E89" t="str">
        <f>PROPER(in!E89)</f>
        <v>Smartphone</v>
      </c>
      <c r="F89" t="str">
        <f>PROPER(in!F89)</f>
        <v>Electronics</v>
      </c>
      <c r="G89">
        <f>in!G89</f>
        <v>3</v>
      </c>
      <c r="H89" s="3">
        <f>IF(ISNUMBER(in!H89),in!H89,"")</f>
        <v>882.96</v>
      </c>
      <c r="I89" t="str">
        <f>IF(in!I89="","unknown",in!I89)</f>
        <v>Bank Transfer</v>
      </c>
      <c r="J89" t="str">
        <f>in!J89</f>
        <v>Returned</v>
      </c>
      <c r="K89">
        <f t="shared" si="2"/>
        <v>2648.88</v>
      </c>
    </row>
    <row r="90" spans="1:11">
      <c r="A90">
        <f>in!A90</f>
        <v>188</v>
      </c>
      <c r="B90" t="str">
        <f>TRIM(in!B90)</f>
        <v>Customer_188</v>
      </c>
      <c r="C90" t="str">
        <f>in!C90</f>
        <v>ORD-58590</v>
      </c>
      <c r="D90" s="2" t="str">
        <f>IFERROR(DATEVALUE(in!D90),in!D90)</f>
        <v>11/19/2024</v>
      </c>
      <c r="E90" t="str">
        <f>PROPER(in!E90)</f>
        <v>Microwave</v>
      </c>
      <c r="F90" t="str">
        <f>PROPER(in!F90)</f>
        <v>Home</v>
      </c>
      <c r="G90">
        <f>in!G90</f>
        <v>5</v>
      </c>
      <c r="H90" s="3">
        <f>IF(ISNUMBER(in!H90),in!H90,"")</f>
        <v>504.05</v>
      </c>
      <c r="I90" t="str">
        <f>IF(in!I90="","unknown",in!I90)</f>
        <v>Cash on Delivery</v>
      </c>
      <c r="J90" t="str">
        <f>in!J90</f>
        <v>Shipped</v>
      </c>
      <c r="K90">
        <f t="shared" si="2"/>
        <v>2520.25</v>
      </c>
    </row>
    <row r="91" spans="1:11">
      <c r="A91">
        <f>in!A91</f>
        <v>189</v>
      </c>
      <c r="B91" t="str">
        <f>TRIM(in!B91)</f>
        <v>Customer_189</v>
      </c>
      <c r="C91" t="str">
        <f>in!C91</f>
        <v>ORD-30627</v>
      </c>
      <c r="D91" s="2" t="str">
        <f>IFERROR(DATEVALUE(in!D91),in!D91)</f>
        <v>8/14/2025</v>
      </c>
      <c r="E91" t="str">
        <f>PROPER(in!E91)</f>
        <v>Lamp</v>
      </c>
      <c r="F91" t="str">
        <f>PROPER(in!F91)</f>
        <v>Home</v>
      </c>
      <c r="G91">
        <f>in!G91</f>
        <v>1</v>
      </c>
      <c r="H91" s="3">
        <f>IF(ISNUMBER(in!H91),in!H91,"")</f>
        <v>814.68</v>
      </c>
      <c r="I91" t="str">
        <f>IF(in!I91="","unknown",in!I91)</f>
        <v>Cash on Delivery</v>
      </c>
      <c r="J91" t="str">
        <f>in!J91</f>
        <v>Returned</v>
      </c>
      <c r="K91">
        <f t="shared" si="2"/>
        <v>814.68</v>
      </c>
    </row>
    <row r="92" spans="1:11">
      <c r="A92">
        <f>in!A92</f>
        <v>190</v>
      </c>
      <c r="B92" t="str">
        <f>TRIM(in!B92)</f>
        <v>Customer_190</v>
      </c>
      <c r="C92" t="str">
        <f>in!C92</f>
        <v>ORD-38469</v>
      </c>
      <c r="D92" s="2" t="str">
        <f>IFERROR(DATEVALUE(in!D92),in!D92)</f>
        <v>6/29/2025</v>
      </c>
      <c r="E92" t="str">
        <f>PROPER(in!E92)</f>
        <v>Vacuum</v>
      </c>
      <c r="F92" t="str">
        <f>PROPER(in!F92)</f>
        <v>Home</v>
      </c>
      <c r="G92">
        <f>in!G92</f>
        <v>1</v>
      </c>
      <c r="H92" s="3">
        <f>IF(ISNUMBER(in!H92),in!H92,"")</f>
        <v>920.37</v>
      </c>
      <c r="I92" t="str">
        <f>IF(in!I92="","unknown",in!I92)</f>
        <v>Bank Transfer</v>
      </c>
      <c r="J92" t="str">
        <f>in!J92</f>
        <v>Processing</v>
      </c>
      <c r="K92">
        <f t="shared" si="2"/>
        <v>920.37</v>
      </c>
    </row>
    <row r="93" spans="1:11">
      <c r="A93">
        <f>in!A93</f>
        <v>191</v>
      </c>
      <c r="B93" t="str">
        <f>TRIM(in!B93)</f>
        <v>Customer_191</v>
      </c>
      <c r="C93" t="str">
        <f>in!C93</f>
        <v>ORD-41810</v>
      </c>
      <c r="D93" s="2" t="str">
        <f>IFERROR(DATEVALUE(in!D93),in!D93)</f>
        <v>7/18/2025</v>
      </c>
      <c r="E93" t="str">
        <f>PROPER(in!E93)</f>
        <v>Fiction</v>
      </c>
      <c r="F93" t="str">
        <f>PROPER(in!F93)</f>
        <v>Books</v>
      </c>
      <c r="G93">
        <f>in!G93</f>
        <v>2</v>
      </c>
      <c r="H93" s="3">
        <f>IF(ISNUMBER(in!H93),in!H93,"")</f>
        <v>881.02</v>
      </c>
      <c r="I93" t="str">
        <f>IF(in!I93="","unknown",in!I93)</f>
        <v>Cash on Delivery</v>
      </c>
      <c r="J93" t="str">
        <f>in!J93</f>
        <v>Returned</v>
      </c>
      <c r="K93">
        <f t="shared" si="2"/>
        <v>1762.04</v>
      </c>
    </row>
    <row r="94" spans="1:11">
      <c r="A94">
        <f>in!A95</f>
        <v>193</v>
      </c>
      <c r="B94" t="str">
        <f>TRIM(in!B95)</f>
        <v>Customer_193</v>
      </c>
      <c r="C94" t="str">
        <f>in!C95</f>
        <v>ORD-42475</v>
      </c>
      <c r="D94" s="2">
        <f>IFERROR(DATEVALUE(in!D95),in!D95)</f>
        <v>45814</v>
      </c>
      <c r="E94" t="str">
        <f>PROPER(in!E95)</f>
        <v>Basketball</v>
      </c>
      <c r="F94" t="s">
        <v>29</v>
      </c>
      <c r="G94">
        <f>in!G95</f>
        <v>0</v>
      </c>
      <c r="H94" s="3">
        <f>IF(ISNUMBER(in!H95),in!H95,"")</f>
        <v>522.02</v>
      </c>
      <c r="I94" t="str">
        <f>IF(in!I95="","unknown",in!I95)</f>
        <v>PayPal</v>
      </c>
      <c r="J94" t="str">
        <f>in!J95</f>
        <v>Shipped</v>
      </c>
      <c r="K94">
        <f t="shared" si="2"/>
        <v>0</v>
      </c>
    </row>
    <row r="95" spans="1:11">
      <c r="A95">
        <f>in!A96</f>
        <v>194</v>
      </c>
      <c r="B95" t="str">
        <f>TRIM(in!B96)</f>
        <v>Customer_194</v>
      </c>
      <c r="C95" t="str">
        <f>in!C96</f>
        <v>ORD-69764</v>
      </c>
      <c r="D95" s="2">
        <f>IFERROR(DATEVALUE(in!D96),in!D96)</f>
        <v>45932</v>
      </c>
      <c r="E95" t="str">
        <f>PROPER(in!E96)</f>
        <v>Lamp</v>
      </c>
      <c r="F95" t="str">
        <f>PROPER(in!F96)</f>
        <v>Home</v>
      </c>
      <c r="G95">
        <f>in!G96</f>
        <v>5</v>
      </c>
      <c r="H95" s="3">
        <f>IF(ISNUMBER(in!H96),in!H96,"")</f>
        <v>944.54</v>
      </c>
      <c r="I95" t="str">
        <f>IF(in!I96="","unknown",in!I96)</f>
        <v>Cash on Delivery</v>
      </c>
      <c r="J95" t="str">
        <f>in!J96</f>
        <v>Returned</v>
      </c>
      <c r="K95">
        <f t="shared" si="2"/>
        <v>4722.7</v>
      </c>
    </row>
    <row r="96" spans="1:11">
      <c r="A96">
        <f>in!A97</f>
        <v>195</v>
      </c>
      <c r="B96" t="str">
        <f>TRIM(in!B97)</f>
        <v>Customer_195</v>
      </c>
      <c r="C96" t="str">
        <f>in!C97</f>
        <v>ORD-82876</v>
      </c>
      <c r="D96" s="2" t="str">
        <f>IFERROR(DATEVALUE(in!D97),in!D97)</f>
        <v>6/19/2025</v>
      </c>
      <c r="E96" t="str">
        <f>PROPER(in!E97)</f>
        <v>Biography</v>
      </c>
      <c r="F96" t="str">
        <f>PROPER(in!F97)</f>
        <v>Books</v>
      </c>
      <c r="G96">
        <f>in!G97</f>
        <v>5</v>
      </c>
      <c r="H96" s="3">
        <f>IF(ISNUMBER(in!H97),in!H97,"")</f>
        <v>817.46</v>
      </c>
      <c r="I96" t="str">
        <f>IF(in!I97="","unknown",in!I97)</f>
        <v>Cash on Delivery</v>
      </c>
      <c r="J96" t="str">
        <f>in!J97</f>
        <v>Returned</v>
      </c>
      <c r="K96">
        <f t="shared" si="2"/>
        <v>4087.3</v>
      </c>
    </row>
    <row r="97" spans="1:11">
      <c r="A97">
        <f>in!A98</f>
        <v>196</v>
      </c>
      <c r="B97" t="str">
        <f>TRIM(in!B98)</f>
        <v>Customer_196</v>
      </c>
      <c r="C97" t="str">
        <f>in!C98</f>
        <v>ORD-78384</v>
      </c>
      <c r="D97" s="2" t="str">
        <f>IFERROR(DATEVALUE(in!D98),in!D98)</f>
        <v>12/23/2024</v>
      </c>
      <c r="E97" t="str">
        <f>PROPER(in!E98)</f>
        <v>Vacuum</v>
      </c>
      <c r="F97" t="str">
        <f>PROPER(in!F98)</f>
        <v>Home</v>
      </c>
      <c r="G97">
        <f>in!G98</f>
        <v>0</v>
      </c>
      <c r="H97" s="3">
        <v>0</v>
      </c>
      <c r="I97" t="str">
        <f>IF(in!I98="","unknown",in!I98)</f>
        <v>PayPal</v>
      </c>
      <c r="J97" t="str">
        <f>in!J98</f>
        <v>Delivered</v>
      </c>
      <c r="K97">
        <f t="shared" si="2"/>
        <v>0</v>
      </c>
    </row>
    <row r="98" spans="1:11">
      <c r="A98">
        <f>in!A99</f>
        <v>197</v>
      </c>
      <c r="B98" t="str">
        <f>TRIM(in!B99)</f>
        <v>Customer_197</v>
      </c>
      <c r="C98" t="str">
        <f>in!C99</f>
        <v>ORD-79139</v>
      </c>
      <c r="D98" s="2" t="str">
        <f>IFERROR(DATEVALUE(in!D99),in!D99)</f>
        <v>6/23/2025</v>
      </c>
      <c r="E98" t="str">
        <f>PROPER(in!E99)</f>
        <v>Blender</v>
      </c>
      <c r="F98" t="str">
        <f>PROPER(in!F99)</f>
        <v>Home</v>
      </c>
      <c r="G98">
        <f>in!G99</f>
        <v>1</v>
      </c>
      <c r="H98" s="3">
        <f>IF(ISNUMBER(in!H99),in!H99,"")</f>
        <v>160.16</v>
      </c>
      <c r="I98" t="str">
        <f>IF(in!I99="","unknown",in!I99)</f>
        <v>PayPal</v>
      </c>
      <c r="J98" t="str">
        <f>in!J99</f>
        <v>Cancelled</v>
      </c>
      <c r="K98">
        <f t="shared" si="2"/>
        <v>160.16</v>
      </c>
    </row>
    <row r="99" spans="1:11">
      <c r="A99">
        <f>in!A100</f>
        <v>198</v>
      </c>
      <c r="B99" t="str">
        <f>TRIM(in!B100)</f>
        <v>Customer_198</v>
      </c>
      <c r="C99" t="str">
        <f>in!C100</f>
        <v>ORD-14608</v>
      </c>
      <c r="D99" s="2" t="str">
        <f>IFERROR(DATEVALUE(in!D100),in!D100)</f>
        <v>7/27/2025</v>
      </c>
      <c r="E99" t="str">
        <f>PROPER(in!E100)</f>
        <v>Vacuum</v>
      </c>
      <c r="F99" t="str">
        <f>PROPER(in!F99)</f>
        <v>Home</v>
      </c>
      <c r="G99">
        <f>in!G100</f>
        <v>2</v>
      </c>
      <c r="H99" s="3">
        <f>IF(ISNUMBER(in!H100),in!H100,"")</f>
        <v>497.01</v>
      </c>
      <c r="I99" t="str">
        <f>IF(in!I100="","unknown",in!I100)</f>
        <v>Cash on Delivery</v>
      </c>
      <c r="J99" t="str">
        <f>in!J100</f>
        <v>Shipped</v>
      </c>
      <c r="K99">
        <f t="shared" si="2"/>
        <v>994.02</v>
      </c>
    </row>
    <row r="100" spans="1:11">
      <c r="A100">
        <f>in!A101</f>
        <v>199</v>
      </c>
      <c r="B100" t="str">
        <f>TRIM(in!B101)</f>
        <v>Customer_199</v>
      </c>
      <c r="C100" t="str">
        <f>in!C101</f>
        <v>ORD-82922</v>
      </c>
      <c r="D100" s="2" t="str">
        <f>IFERROR(DATEVALUE(in!D101),in!D101)</f>
        <v>1/22/2025</v>
      </c>
      <c r="E100" t="str">
        <f>PROPER(in!E101)</f>
        <v>Blender</v>
      </c>
      <c r="F100" t="str">
        <f>PROPER(in!F101)</f>
        <v>Home</v>
      </c>
      <c r="G100">
        <f>in!G101</f>
        <v>5</v>
      </c>
      <c r="H100" s="3">
        <f>IF(ISNUMBER(in!H101),in!H101,"")</f>
        <v>372.28</v>
      </c>
      <c r="I100" t="str">
        <f>IF(in!I101="","unknown",in!I101)</f>
        <v>Credit Card</v>
      </c>
      <c r="J100" t="str">
        <f>in!J101</f>
        <v>Shipped</v>
      </c>
      <c r="K100">
        <f t="shared" si="2"/>
        <v>1861.3999999999999</v>
      </c>
    </row>
    <row r="101" spans="1:11">
      <c r="A101">
        <f>in!A102</f>
        <v>175</v>
      </c>
      <c r="B101" t="str">
        <f>TRIM(in!B102)</f>
        <v>Customer_175</v>
      </c>
      <c r="C101" t="str">
        <f>in!C102</f>
        <v>ORD-56651</v>
      </c>
      <c r="D101" s="2" t="str">
        <f>IFERROR(DATEVALUE(in!D102),in!D102)</f>
        <v>2/24/2025</v>
      </c>
      <c r="E101" t="str">
        <f>PROPER(in!E102)</f>
        <v>Headphones</v>
      </c>
      <c r="F101" t="str">
        <f>PROPER(in!F102)</f>
        <v>Electronics</v>
      </c>
      <c r="G101">
        <f>in!G102</f>
        <v>1</v>
      </c>
      <c r="H101" s="3">
        <f>IF(ISNUMBER(in!H102),in!H102,"")</f>
        <v>111.36</v>
      </c>
      <c r="I101" t="str">
        <f>IF(in!I102="","unknown",in!I102)</f>
        <v>Credit Card</v>
      </c>
      <c r="J101" t="str">
        <f>in!J102</f>
        <v>Processing</v>
      </c>
      <c r="K101">
        <f t="shared" si="2"/>
        <v>111.36</v>
      </c>
    </row>
    <row r="102" spans="1:11">
      <c r="A102">
        <f>in!A103</f>
        <v>142</v>
      </c>
      <c r="B102" t="str">
        <f>TRIM(in!B103)</f>
        <v>Customer_142</v>
      </c>
      <c r="C102" t="str">
        <f>in!C103</f>
        <v>ORD-69018</v>
      </c>
      <c r="D102" s="2" t="str">
        <f>IFERROR(DATEVALUE(in!D103),in!D103)</f>
        <v>10/30/2025</v>
      </c>
      <c r="E102" t="str">
        <f>PROPER(in!E103)</f>
        <v>Shoes</v>
      </c>
      <c r="F102" t="str">
        <f>PROPER(in!F103)</f>
        <v>Clothing</v>
      </c>
      <c r="G102">
        <f>in!G103</f>
        <v>5</v>
      </c>
      <c r="H102" s="3">
        <f>IF(ISNUMBER(in!H103),in!H103,"")</f>
        <v>645.26</v>
      </c>
      <c r="I102" t="str">
        <f>IF(in!I103="","unknown",in!I103)</f>
        <v>Credit Card</v>
      </c>
      <c r="J102" t="str">
        <f>in!J103</f>
        <v>Shipped</v>
      </c>
      <c r="K102">
        <f t="shared" si="2"/>
        <v>3226.3</v>
      </c>
    </row>
    <row r="103" spans="1:11">
      <c r="A103">
        <f>in!A104</f>
        <v>146</v>
      </c>
      <c r="B103" t="str">
        <f>TRIM(in!B104)</f>
        <v>Customer_146</v>
      </c>
      <c r="C103" t="str">
        <f>in!C104</f>
        <v>ORD-32755</v>
      </c>
      <c r="D103" s="2">
        <f>IFERROR(DATEVALUE(in!D104),in!D104)</f>
        <v>45907</v>
      </c>
      <c r="E103" t="str">
        <f>PROPER(in!E104)</f>
        <v>Basketball</v>
      </c>
      <c r="F103" t="s">
        <v>21</v>
      </c>
      <c r="G103">
        <f>in!G104</f>
        <v>2</v>
      </c>
      <c r="H103" s="3">
        <f>IF(ISNUMBER(in!H104),in!H104,"")</f>
        <v>705.42</v>
      </c>
      <c r="I103" t="str">
        <f>IF(in!I104="","unknown",in!I104)</f>
        <v>Bank Transfer</v>
      </c>
      <c r="J103" t="str">
        <f>in!J104</f>
        <v>Processing</v>
      </c>
      <c r="K103">
        <f t="shared" si="2"/>
        <v>1410.84</v>
      </c>
    </row>
  </sheetData>
  <autoFilter ref="F1:F115" xr:uid="{02ABA870-B050-4055-9679-E18B31F60B0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9275-3615-4A71-B94C-7C7421FB7676}">
  <dimension ref="A3:B11"/>
  <sheetViews>
    <sheetView workbookViewId="0">
      <selection activeCell="O5" sqref="O5"/>
    </sheetView>
  </sheetViews>
  <sheetFormatPr defaultRowHeight="15"/>
  <cols>
    <col min="1" max="1" width="12.42578125" bestFit="1" customWidth="1"/>
    <col min="2" max="2" width="13" style="5" bestFit="1" customWidth="1"/>
  </cols>
  <sheetData>
    <row r="3" spans="1:2">
      <c r="A3" s="4" t="s">
        <v>5</v>
      </c>
      <c r="B3" s="5" t="s">
        <v>303</v>
      </c>
    </row>
    <row r="4" spans="1:2">
      <c r="A4" t="s">
        <v>35</v>
      </c>
      <c r="B4" s="5">
        <v>38357.11</v>
      </c>
    </row>
    <row r="5" spans="1:2">
      <c r="A5" t="s">
        <v>69</v>
      </c>
      <c r="B5" s="5">
        <v>32644.379999999997</v>
      </c>
    </row>
    <row r="6" spans="1:2">
      <c r="A6" t="s">
        <v>21</v>
      </c>
      <c r="B6" s="5">
        <v>43678.549999999996</v>
      </c>
    </row>
    <row r="7" spans="1:2">
      <c r="A7" t="s">
        <v>15</v>
      </c>
      <c r="B7" s="5">
        <v>26023.730000000003</v>
      </c>
    </row>
    <row r="8" spans="1:2">
      <c r="A8" t="s">
        <v>29</v>
      </c>
      <c r="B8" s="5">
        <v>19736.25</v>
      </c>
    </row>
    <row r="9" spans="1:2">
      <c r="A9" t="s">
        <v>304</v>
      </c>
      <c r="B9" s="5">
        <v>160440.01999999999</v>
      </c>
    </row>
    <row r="10" spans="1:2">
      <c r="B10"/>
    </row>
    <row r="11" spans="1:2">
      <c r="B1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A2F9-273C-46F0-AF93-FF0E9497B46F}">
  <dimension ref="A3:B9"/>
  <sheetViews>
    <sheetView workbookViewId="0">
      <selection activeCell="P4" sqref="P4"/>
    </sheetView>
  </sheetViews>
  <sheetFormatPr defaultRowHeight="15"/>
  <cols>
    <col min="1" max="1" width="11.42578125" bestFit="1" customWidth="1"/>
    <col min="2" max="2" width="17.140625" bestFit="1" customWidth="1"/>
  </cols>
  <sheetData>
    <row r="3" spans="1:2">
      <c r="A3" s="4" t="s">
        <v>9</v>
      </c>
      <c r="B3" t="s">
        <v>305</v>
      </c>
    </row>
    <row r="4" spans="1:2">
      <c r="A4" t="s">
        <v>43</v>
      </c>
      <c r="B4" s="6">
        <v>15</v>
      </c>
    </row>
    <row r="5" spans="1:2">
      <c r="A5" t="s">
        <v>30</v>
      </c>
      <c r="B5" s="6">
        <v>11</v>
      </c>
    </row>
    <row r="6" spans="1:2">
      <c r="A6" t="s">
        <v>24</v>
      </c>
      <c r="B6" s="6">
        <v>27</v>
      </c>
    </row>
    <row r="7" spans="1:2">
      <c r="A7" t="s">
        <v>49</v>
      </c>
      <c r="B7" s="6">
        <v>26</v>
      </c>
    </row>
    <row r="8" spans="1:2">
      <c r="A8" t="s">
        <v>17</v>
      </c>
      <c r="B8" s="6">
        <v>23</v>
      </c>
    </row>
    <row r="9" spans="1:2">
      <c r="A9" t="s">
        <v>304</v>
      </c>
      <c r="B9" s="6">
        <v>102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1AA4-B758-4896-A6EA-11B9E5EDFCCC}">
  <dimension ref="A3:B8"/>
  <sheetViews>
    <sheetView workbookViewId="0">
      <selection activeCell="O5" sqref="O5"/>
    </sheetView>
  </sheetViews>
  <sheetFormatPr defaultRowHeight="15"/>
  <cols>
    <col min="1" max="1" width="20.140625" bestFit="1" customWidth="1"/>
    <col min="2" max="2" width="12.140625" bestFit="1" customWidth="1"/>
  </cols>
  <sheetData>
    <row r="3" spans="1:2">
      <c r="A3" s="4" t="s">
        <v>8</v>
      </c>
      <c r="B3" t="s">
        <v>303</v>
      </c>
    </row>
    <row r="4" spans="1:2">
      <c r="A4" t="s">
        <v>46</v>
      </c>
      <c r="B4" s="6">
        <v>43023.67</v>
      </c>
    </row>
    <row r="5" spans="1:2">
      <c r="A5" t="s">
        <v>16</v>
      </c>
      <c r="B5" s="6">
        <v>64758.299999999988</v>
      </c>
    </row>
    <row r="6" spans="1:2">
      <c r="A6" t="s">
        <v>55</v>
      </c>
      <c r="B6" s="6">
        <v>25077.63</v>
      </c>
    </row>
    <row r="7" spans="1:2">
      <c r="A7" t="s">
        <v>23</v>
      </c>
      <c r="B7" s="6">
        <v>27580.420000000006</v>
      </c>
    </row>
    <row r="8" spans="1:2">
      <c r="A8" t="s">
        <v>304</v>
      </c>
      <c r="B8" s="6">
        <v>160440.01999999999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A751-7344-4022-8B5E-580DE65BD00E}">
  <dimension ref="A1:I20"/>
  <sheetViews>
    <sheetView showGridLines="0" workbookViewId="0">
      <selection activeCell="B18" sqref="B18"/>
    </sheetView>
  </sheetViews>
  <sheetFormatPr defaultRowHeight="15"/>
  <cols>
    <col min="1" max="1" width="9.140625" style="10"/>
    <col min="2" max="2" width="20" style="10" customWidth="1"/>
    <col min="3" max="3" width="54.28515625" style="10" customWidth="1"/>
    <col min="4" max="4" width="9.140625" style="10"/>
    <col min="5" max="5" width="20.140625" style="10" customWidth="1"/>
    <col min="6" max="7" width="9.140625" style="10"/>
    <col min="8" max="8" width="22.5703125" style="10" bestFit="1" customWidth="1"/>
    <col min="9" max="16384" width="9.140625" style="10"/>
  </cols>
  <sheetData>
    <row r="1" spans="1:9" ht="42.75" customHeight="1">
      <c r="A1" s="18" t="s">
        <v>306</v>
      </c>
      <c r="B1" s="18"/>
      <c r="C1" s="18"/>
      <c r="D1" s="18"/>
      <c r="E1" s="18"/>
      <c r="F1" s="18"/>
    </row>
    <row r="3" spans="1:9">
      <c r="B3" s="11" t="s">
        <v>307</v>
      </c>
      <c r="C3" s="12"/>
      <c r="E3" s="11" t="s">
        <v>308</v>
      </c>
      <c r="F3" s="12"/>
      <c r="H3" s="13" t="s">
        <v>309</v>
      </c>
      <c r="I3" s="14"/>
    </row>
    <row r="4" spans="1:9">
      <c r="B4" s="15">
        <f>SUM('clean data'!K:K)</f>
        <v>160440.01999999993</v>
      </c>
      <c r="C4" s="16"/>
      <c r="E4" s="17">
        <f>COUNTA('clean data'!B:B)</f>
        <v>103</v>
      </c>
      <c r="F4" s="12"/>
      <c r="H4" s="15">
        <f>B4/E4</f>
        <v>1557.6700970873781</v>
      </c>
      <c r="I4" s="16"/>
    </row>
    <row r="18" spans="2:3">
      <c r="B18" s="9"/>
      <c r="C18" s="8"/>
    </row>
    <row r="20" spans="2:3">
      <c r="B20" s="9"/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2026-05-28T04:26:00Z</dcterms:created>
  <dcterms:modified xsi:type="dcterms:W3CDTF">2026-05-28T06:47:00Z</dcterms:modified>
  <cp:category/>
  <cp:contentStatus/>
</cp:coreProperties>
</file>